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a43ce36b8604600" /></Relationships>
</file>

<file path=xl/workbook.xml><?xml version="1.0" encoding="utf-8"?>
<x:workbook xmlns:x="http://schemas.openxmlformats.org/spreadsheetml/2006/main">
  <x:sheets>
    <x:sheet xmlns:r="http://schemas.openxmlformats.org/officeDocument/2006/relationships" name="Russian tarot" sheetId="1" r:id="R3f19722ed8cb4c17"/>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1D2B29"/>
      <x:name val="Arial"/>
    </x:font>
    <x:font>
      <x:i/>
      <x:sz val="10"/>
      <x:color rgb="FF65706D"/>
      <x:name val="Arial"/>
    </x:font>
    <x:font>
      <x:b/>
      <x:sz val="10"/>
      <x:color rgb="FF253C39"/>
      <x:name val="Arial"/>
    </x:font>
    <x:font>
      <x:sz val="10"/>
      <x:color rgb="FF1E2927"/>
      <x:name val="Arial"/>
    </x:font>
    <x:font>
      <x:b/>
      <x:sz val="10"/>
      <x:color rgb="FFFFFFFF"/>
      <x:name val="Arial"/>
    </x:font>
    <x:font>
      <x:sz val="10"/>
      <x:color rgb="FF1A617B"/>
      <x:name val="Arial"/>
    </x:font>
  </x:fonts>
  <x:fills count="3">
    <x:fill>
      <x:patternFill patternType="none"/>
    </x:fill>
    <x:fill>
      <x:patternFill patternType="gray125"/>
    </x:fill>
    <x:fill>
      <x:patternFill patternType="solid">
        <x:fgColor rgb="FF253C39"/>
      </x:patternFill>
    </x:fill>
  </x:fills>
  <x:borders count="1">
    <x:border/>
  </x:borders>
  <x:cellStyleXfs count="1">
    <x:xf numFmtId="0" fontId="0" fillId="0" borderId="0"/>
  </x:cellStyleXfs>
  <x:cellXfs count="10">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4" fillId="2" borderId="0" xfId="0" applyNumberFormat="1" applyFont="1" applyFill="1" applyBorder="1"/>
    <x:xf numFmtId="0" fontId="5" fillId="2" borderId="0" xfId="0" applyNumberFormat="1" applyFont="1" applyFill="1" applyBorder="1"/>
    <x:xf numFmtId="0" fontId="4" fillId="0" borderId="0" xfId="0" applyNumberFormat="1" applyFont="1" applyFill="1" applyBorder="1" applyAlignment="1">
      <x:alignment vertical="center"/>
    </x:xf>
    <x:xf numFmtId="0" fontId="4" fillId="0" borderId="0" xfId="0" applyNumberFormat="1" applyFont="1" applyFill="1" applyBorder="1" applyAlignment="1">
      <x:alignment vertical="center" wrapText="0"/>
    </x:xf>
    <x:xf numFmtId="0" fontId="6" fillId="0" borderId="0" xfId="0" applyNumberFormat="1" applyFont="1" applyFill="1" applyBorder="1" applyAlignment="1">
      <x:alignment vertical="center"/>
    </x:xf>
  </x:cellXfs>
  <x:cellStyles count="1">
    <x:cellStyle name="Normal" xfId="0"/>
  </x:cellStyles>
  <x:dxfs count="3">
    <x:dxf>
      <x:font>
        <x:b/>
        <x:color rgb="FFA33A24"/>
      </x:font>
      <x:fill>
        <x:patternFill>
          <x:bgColor rgb="FFFCE5DC"/>
        </x:patternFill>
      </x:fill>
    </x:dxf>
    <x:dxf>
      <x:font>
        <x:b/>
        <x:color rgb="FF785400"/>
      </x:font>
      <x:fill>
        <x:patternFill>
          <x:bgColor rgb="FFFFF0C2"/>
        </x:patternFill>
      </x:fill>
    </x:dxf>
    <x:dxf>
      <x:font>
        <x:color rgb="FFA33A24"/>
      </x:font>
      <x:fill>
        <x:patternFill>
          <x:bgColor rgb="FFFCE5D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014686082044754" /><Relationship Type="http://schemas.openxmlformats.org/officeDocument/2006/relationships/theme" Target="/xl/theme/theme1.xml" Id="Rdc8853fc8c0c4816" /><Relationship Type="http://schemas.openxmlformats.org/officeDocument/2006/relationships/sharedStrings" Target="/xl/sharedStrings.xml" Id="R3c7ed18df2a04b7d" /><Relationship Type="http://schemas.openxmlformats.org/officeDocument/2006/relationships/worksheet" Target="/xl/worksheets/sheet1.xml" Id="R3f19722ed8cb4c17" /></Relationships>
</file>

<file path=xl/tables/table1.xml><?xml version="1.0" encoding="utf-8"?>
<x:table xmlns:x="http://schemas.openxmlformats.org/spreadsheetml/2006/main" id="1" name="RussianTarotMappings" displayName="RussianTarotMappings" ref="A7:I97" headerRowCount="1" totalsRowCount="0" totalsRowShown="0">
  <x:tableColumns count="9">
    <x:tableColumn id="1" name="Tarot card"/>
    <x:tableColumn id="2" name="Mapped card"/>
    <x:tableColumn id="3" name="Sub-area"/>
    <x:tableColumn id="4" name="Type"/>
    <x:tableColumn id="5" name="Art link"/>
    <x:tableColumn id="6" name="Art status"/>
    <x:tableColumn id="7" name="Mapping state"/>
    <x:tableColumn id="8" name="Source status"/>
    <x:tableColumn id="9" name="Notes"/>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365c26ae7e24329" /></Relationships>
</file>

<file path=xl/worksheets/sheet1.xml><?xml version="1.0" encoding="utf-8"?>
<x:worksheet xmlns:x="http://schemas.openxmlformats.org/spreadsheetml/2006/main">
  <x:sheetPr>
    <x:tabColor rgb="FF253C39"/>
  </x:sheetPr>
  <x:sheetViews>
    <x:sheetView showGridLines="0" workbookViewId="0">
      <x:pane ySplit="7" topLeftCell="A8" activePane="bottomLeft" state="frozen"/>
    </x:sheetView>
  </x:sheetViews>
  <x:sheetFormatPr defaultRowHeight="15"/>
  <x:cols>
    <x:col min="1" max="1" width="22" hidden="0" customWidth="1"/>
    <x:col min="2" max="2" width="44" hidden="0" customWidth="1"/>
    <x:col min="3" max="3" width="17" hidden="0" customWidth="1"/>
    <x:col min="4" max="4" width="13" hidden="0" customWidth="1"/>
    <x:col min="5" max="5" width="13" hidden="0" customWidth="1"/>
    <x:col min="6" max="6" width="12" hidden="0" customWidth="1"/>
    <x:col min="7" max="7" width="16" hidden="0" customWidth="1"/>
    <x:col min="8" max="8" width="26" hidden="0" customWidth="1"/>
    <x:col min="9" max="9" width="75" hidden="0" customWidth="1"/>
  </x:cols>
  <x:sheetData>
    <x:row r="2">
      <x:c r="A2" s="1" t="str">
        <x:v>Russian tarot deck</x:v>
      </x:c>
    </x:row>
    <x:row r="3">
      <x:c r="A3" s="2" t="str">
        <x:v>78 archetypes across Closed City, Far North, and Winter Front</x:v>
      </x:c>
    </x:row>
    <x:row r="5">
      <x:c r="A5" s="3" t="str">
        <x:v>59 uniquely mapped</x:v>
      </x:c>
      <x:c r="C5" s="3" t="str">
        <x:v>12 conflicts</x:v>
      </x:c>
      <x:c r="E5" s="3" t="str">
        <x:v>7 open</x:v>
      </x:c>
      <x:c r="G5" s="3" t="str">
        <x:v>2 missing art</x:v>
      </x:c>
    </x:row>
    <x:row r="7" ht="27" customHeight="1">
      <x:c r="A7" s="6" t="str">
        <x:v>Tarot card</x:v>
      </x:c>
      <x:c r="B7" s="6" t="str">
        <x:v>Mapped card</x:v>
      </x:c>
      <x:c r="C7" s="6" t="str">
        <x:v>Sub-area</x:v>
      </x:c>
      <x:c r="D7" s="6" t="str">
        <x:v>Type</x:v>
      </x:c>
      <x:c r="E7" s="6" t="str">
        <x:v>Art link</x:v>
      </x:c>
      <x:c r="F7" s="6" t="str">
        <x:v>Art status</x:v>
      </x:c>
      <x:c r="G7" s="6" t="str">
        <x:v>Mapping state</x:v>
      </x:c>
      <x:c r="H7" s="6" t="str">
        <x:v>Source status</x:v>
      </x:c>
      <x:c r="I7" s="6" t="str">
        <x:v>Notes</x:v>
      </x:c>
    </x:row>
    <x:row r="8" ht="23" customHeight="1">
      <x:c r="A8" s="7" t="str">
        <x:v>The Fool</x:v>
      </x:c>
      <x:c r="B8" s="7" t="str">
        <x:v>Nikolai Yegorov / Reactor Worker</x:v>
      </x:c>
      <x:c r="C8" s="7" t="str">
        <x:v>Closed City</x:v>
      </x:c>
      <x:c r="D8" s="7" t="str">
        <x:v>Character</x:v>
      </x:c>
      <x:c r="E8" s="9" t="str">
        <x:f>HYPERLINK("file:///C:/Users/Drew/Documents/MythCards/assets/characters/nikolai-yegorov-the-fool-character-card-art.png","Open art")</x:f>
        <x:v>Open art</x:v>
      </x:c>
      <x:c r="F8" s="7" t="str">
        <x:v>Saved</x:v>
      </x:c>
      <x:c r="G8" s="7" t="str">
        <x:v>Mapped</x:v>
      </x:c>
      <x:c r="H8" s="7" t="str">
        <x:v>Draft</x:v>
      </x:c>
      <x:c r="I8" s="8" t="str"/>
    </x:row>
    <x:row r="9" ht="23" customHeight="1">
      <x:c r="A9" s="7" t="str">
        <x:v>The Magician</x:v>
      </x:c>
      <x:c r="B9" s="7" t="str">
        <x:v>Dr. Mikhail Orlov</x:v>
      </x:c>
      <x:c r="C9" s="7" t="str">
        <x:v>Closed City</x:v>
      </x:c>
      <x:c r="D9" s="7" t="str">
        <x:v>Character</x:v>
      </x:c>
      <x:c r="E9" s="9" t="str">
        <x:f>HYPERLINK("file:///C:/Users/Drew/Documents/MythCards/assets/characters/dr-mikhail-orlov-the-magician-character-art.png","Open art")</x:f>
        <x:v>Open art</x:v>
      </x:c>
      <x:c r="F9" s="7" t="str">
        <x:v>Saved</x:v>
      </x:c>
      <x:c r="G9" s="7" t="str">
        <x:v>Mapped</x:v>
      </x:c>
      <x:c r="H9" s="7" t="str">
        <x:v>Approved</x:v>
      </x:c>
      <x:c r="I9" s="8" t="str"/>
    </x:row>
    <x:row r="10" ht="23" customHeight="1">
      <x:c r="A10" s="7" t="str">
        <x:v>The High Priestess</x:v>
      </x:c>
      <x:c r="B10" s="7" t="str">
        <x:v>Dr. Elena Morozova</x:v>
      </x:c>
      <x:c r="C10" s="7" t="str">
        <x:v>Closed City</x:v>
      </x:c>
      <x:c r="D10" s="7" t="str">
        <x:v>Character</x:v>
      </x:c>
      <x:c r="E10" s="9" t="str">
        <x:f>HYPERLINK("file:///C:/Users/Drew/Documents/MythCards/assets/characters/dr-elena-morozova-the-high-priestess-character-card-art.png","Open art")</x:f>
        <x:v>Open art</x:v>
      </x:c>
      <x:c r="F10" s="7" t="str">
        <x:v>Saved</x:v>
      </x:c>
      <x:c r="G10" s="7" t="str">
        <x:v>Mapped</x:v>
      </x:c>
      <x:c r="H10" s="7" t="str">
        <x:v>Approved</x:v>
      </x:c>
      <x:c r="I10" s="8" t="str"/>
    </x:row>
    <x:row r="11" ht="23" customHeight="1">
      <x:c r="A11" s="7" t="str">
        <x:v>The Empress</x:v>
      </x:c>
      <x:c r="B11" s="7" t="str">
        <x:v>Irina Vasilievna Karpova</x:v>
      </x:c>
      <x:c r="C11" s="7" t="str">
        <x:v>Closed City</x:v>
      </x:c>
      <x:c r="D11" s="7" t="str">
        <x:v>Character</x:v>
      </x:c>
      <x:c r="E11" s="9" t="str">
        <x:f>HYPERLINK("file:///C:/Users/Drew/Documents/MythCards/assets/characters/irina-vasilievna-karpova-the-empress-character-card-art.png","Open art")</x:f>
        <x:v>Open art</x:v>
      </x:c>
      <x:c r="F11" s="7" t="str">
        <x:v>Saved</x:v>
      </x:c>
      <x:c r="G11" s="7" t="str">
        <x:v>Mapped</x:v>
      </x:c>
      <x:c r="H11" s="7" t="str">
        <x:v>Approved</x:v>
      </x:c>
      <x:c r="I11" s="8" t="str"/>
    </x:row>
    <x:row r="12" ht="23" customHeight="1">
      <x:c r="A12" s="7" t="str">
        <x:v>The Emperor</x:v>
      </x:c>
      <x:c r="B12" s="7" t="str">
        <x:v>Colonel Viktor Semyonov</x:v>
      </x:c>
      <x:c r="C12" s="7" t="str">
        <x:v>Closed City</x:v>
      </x:c>
      <x:c r="D12" s="7" t="str">
        <x:v>Character</x:v>
      </x:c>
      <x:c r="E12" s="9" t="str">
        <x:f>HYPERLINK("file:///C:/Users/Drew/Documents/MythCards/assets/characters/colonel-viktor-semyonov-the-emperor-character-card-art.png","Open art")</x:f>
        <x:v>Open art</x:v>
      </x:c>
      <x:c r="F12" s="7" t="str">
        <x:v>Saved</x:v>
      </x:c>
      <x:c r="G12" s="7" t="str">
        <x:v>Mapped</x:v>
      </x:c>
      <x:c r="H12" s="7" t="str">
        <x:v>Approved</x:v>
      </x:c>
      <x:c r="I12" s="8" t="str"/>
    </x:row>
    <x:row r="13" ht="23" customHeight="1">
      <x:c r="A13" s="7" t="str">
        <x:v>The Hierophant</x:v>
      </x:c>
      <x:c r="G13" s="7" t="str">
        <x:v>Open</x:v>
      </x:c>
      <x:c r="I13" s="8" t="str"/>
    </x:row>
    <x:row r="14" ht="23" customHeight="1">
      <x:c r="A14" s="7" t="str">
        <x:v>The Lovers</x:v>
      </x:c>
      <x:c r="B14" s="7" t="str">
        <x:v>Elena Missing In The Signal</x:v>
      </x:c>
      <x:c r="C14" s="7" t="str">
        <x:v>Closed City</x:v>
      </x:c>
      <x:c r="D14" s="7" t="str">
        <x:v>Event</x:v>
      </x:c>
      <x:c r="E14" s="9" t="str">
        <x:f>HYPERLINK("file:///C:/Users/Drew/Documents/MythCards/assets/events/closed-city-elena-missing-in-the-signal-the-lovers-event-art.png","Open art")</x:f>
        <x:v>Open art</x:v>
      </x:c>
      <x:c r="F14" s="7" t="str">
        <x:v>Saved</x:v>
      </x:c>
      <x:c r="G14" s="7" t="str">
        <x:v>Mapped</x:v>
      </x:c>
      <x:c r="H14" s="7" t="str">
        <x:v>Approved</x:v>
      </x:c>
      <x:c r="I14" s="8" t="str"/>
    </x:row>
    <x:row r="15" ht="23" customHeight="1">
      <x:c r="A15" s="7" t="str">
        <x:v>The Chariot</x:v>
      </x:c>
      <x:c r="B15" s="7" t="str">
        <x:v>VERA-7</x:v>
      </x:c>
      <x:c r="C15" s="7" t="str">
        <x:v>Closed City</x:v>
      </x:c>
      <x:c r="D15" s="7" t="str">
        <x:v>Character</x:v>
      </x:c>
      <x:c r="E15" s="9" t="str">
        <x:f>HYPERLINK("file:///C:/Users/Drew/Documents/MythCards/assets/characters/vera-7-the-chariot-character-card-art.png","Open art")</x:f>
        <x:v>Open art</x:v>
      </x:c>
      <x:c r="F15" s="7" t="str">
        <x:v>Saved</x:v>
      </x:c>
      <x:c r="G15" s="7" t="str">
        <x:v>Conflict</x:v>
      </x:c>
      <x:c r="H15" s="7" t="str">
        <x:v>Approved</x:v>
      </x:c>
      <x:c r="I15" s="8" t="str"/>
    </x:row>
    <x:row r="16" ht="23" customHeight="1">
      <x:c r="A16" s="7" t="str">
        <x:v>The Chariot</x:v>
      </x:c>
      <x:c r="B16" s="7" t="str">
        <x:v>Buran Breaks The Boundary</x:v>
      </x:c>
      <x:c r="C16" s="7" t="str">
        <x:v>Far North</x:v>
      </x:c>
      <x:c r="D16" s="7" t="str">
        <x:v>Event</x:v>
      </x:c>
      <x:c r="E16" s="9" t="str">
        <x:f>HYPERLINK("file:///C:/Users/Drew/Documents/MythCards/assets/events/far-north-buran-breaks-the-boundary-the-chariot-event-art.png","Open art")</x:f>
        <x:v>Open art</x:v>
      </x:c>
      <x:c r="F16" s="7" t="str">
        <x:v>Saved</x:v>
      </x:c>
      <x:c r="G16" s="7" t="str">
        <x:v>Conflict</x:v>
      </x:c>
      <x:c r="H16" s="7" t="str">
        <x:v>Draft</x:v>
      </x:c>
      <x:c r="I16" s="8" t="str">
        <x:v>Event art expresses The Chariot through Vera riding Buran at speed through opposing aurora and snow forces, with the village behind them, the breach ahead, and no literal wheeled chariot.</x:v>
      </x:c>
    </x:row>
    <x:row r="17" ht="23" customHeight="1">
      <x:c r="A17" s="7" t="str">
        <x:v>Strength</x:v>
      </x:c>
      <x:c r="B17" s="7" t="str">
        <x:v>Major Yuri Volkov</x:v>
      </x:c>
      <x:c r="C17" s="7" t="str">
        <x:v>Closed City</x:v>
      </x:c>
      <x:c r="D17" s="7" t="str">
        <x:v>Character</x:v>
      </x:c>
      <x:c r="E17" s="9" t="str">
        <x:f>HYPERLINK("file:///C:/Users/Drew/Documents/MythCards/assets/characters/major-yuri-volkov-strength-character-card-art.png","Open art")</x:f>
        <x:v>Open art</x:v>
      </x:c>
      <x:c r="F17" s="7" t="str">
        <x:v>Saved</x:v>
      </x:c>
      <x:c r="G17" s="7" t="str">
        <x:v>Conflict</x:v>
      </x:c>
      <x:c r="H17" s="7" t="str">
        <x:v>Approved</x:v>
      </x:c>
      <x:c r="I17" s="8" t="str"/>
    </x:row>
    <x:row r="18" ht="23" customHeight="1">
      <x:c r="A18" s="7" t="str">
        <x:v>Strength</x:v>
      </x:c>
      <x:c r="B18" s="7" t="str">
        <x:v>Bogatyr Walks Through Smoke</x:v>
      </x:c>
      <x:c r="C18" s="7" t="str">
        <x:v>Winter Front</x:v>
      </x:c>
      <x:c r="D18" s="7" t="str">
        <x:v>Event</x:v>
      </x:c>
      <x:c r="E18" s="9" t="str">
        <x:f>HYPERLINK("file:///C:/Users/Drew/Documents/MythCards/assets/events/winter-front-bogatyr-walks-through-smoke-strength-event-art.png","Open art")</x:f>
        <x:v>Open art</x:v>
      </x:c>
      <x:c r="F18" s="7" t="str">
        <x:v>Saved</x:v>
      </x:c>
      <x:c r="G18" s="7" t="str">
        <x:v>Conflict</x:v>
      </x:c>
      <x:c r="H18" s="7" t="str">
        <x:v>Draft</x:v>
      </x:c>
      <x:c r="I18" s="8" t="str"/>
    </x:row>
    <x:row r="19" ht="23" customHeight="1">
      <x:c r="A19" s="7" t="str">
        <x:v>The Hermit</x:v>
      </x:c>
      <x:c r="B19" s="7" t="str">
        <x:v>Meteor Lantern</x:v>
      </x:c>
      <x:c r="C19" s="7" t="str">
        <x:v>Far North</x:v>
      </x:c>
      <x:c r="D19" s="7" t="str">
        <x:v>Relic</x:v>
      </x:c>
      <x:c r="E19" s="9" t="str">
        <x:f>HYPERLINK("file:///C:/Users/Drew/Documents/MythCards/assets/relics/far-north-meteor-lantern-the-hermit-relic-art.png","Open art")</x:f>
        <x:v>Open art</x:v>
      </x:c>
      <x:c r="F19" s="7" t="str">
        <x:v>Saved</x:v>
      </x:c>
      <x:c r="G19" s="7" t="str">
        <x:v>Mapped</x:v>
      </x:c>
      <x:c r="H19" s="7" t="str">
        <x:v>Draft</x:v>
      </x:c>
      <x:c r="I19" s="8" t="str">
        <x:v>Relic art centers one old handmade lantern with blackened iron, scratched glass, red thread, boundary charms, a black meteor-glass shard, and warm true light against aurora-lit snow.</x:v>
      </x:c>
    </x:row>
    <x:row r="20" ht="23" customHeight="1">
      <x:c r="A20" s="7" t="str">
        <x:v>Wheel Of Fortune</x:v>
      </x:c>
      <x:c r="B20" s="7" t="str">
        <x:v>Seventeen Seconds</x:v>
      </x:c>
      <x:c r="C20" s="7" t="str">
        <x:v>Closed City</x:v>
      </x:c>
      <x:c r="D20" s="7" t="str">
        <x:v>Event</x:v>
      </x:c>
      <x:c r="E20" s="9" t="str">
        <x:f>HYPERLINK("file:///C:/Users/Drew/Documents/MythCards/assets/events/closed-city-seventeen-seconds-wheel-of-fortune-event-art.png","Open art")</x:f>
        <x:v>Open art</x:v>
      </x:c>
      <x:c r="F20" s="7" t="str">
        <x:v>Saved</x:v>
      </x:c>
      <x:c r="G20" s="7" t="str">
        <x:v>Conflict</x:v>
      </x:c>
      <x:c r="H20" s="7" t="str">
        <x:v>Approved</x:v>
      </x:c>
      <x:c r="I20" s="8" t="str"/>
    </x:row>
    <x:row r="21" ht="23" customHeight="1">
      <x:c r="A21" s="7" t="str">
        <x:v>Wheel Of Fortune</x:v>
      </x:c>
      <x:c r="B21" s="7" t="str">
        <x:v>Radio Snow Speaks</x:v>
      </x:c>
      <x:c r="C21" s="7" t="str">
        <x:v>Winter Front</x:v>
      </x:c>
      <x:c r="D21" s="7" t="str">
        <x:v>Event</x:v>
      </x:c>
      <x:c r="E21" s="9" t="str">
        <x:f>HYPERLINK("file:///C:/Users/Drew/Documents/MythCards/assets/events/winter-front-radio-snow-speaks-wheel-of-fortune-event-art.png","Open art")</x:f>
        <x:v>Open art</x:v>
      </x:c>
      <x:c r="F21" s="7" t="str">
        <x:v>Saved</x:v>
      </x:c>
      <x:c r="G21" s="7" t="str">
        <x:v>Conflict</x:v>
      </x:c>
      <x:c r="H21" s="7" t="str">
        <x:v>Draft</x:v>
      </x:c>
      <x:c r="I21" s="8" t="str"/>
    </x:row>
    <x:row r="22" ht="23" customHeight="1">
      <x:c r="A22" s="7" t="str">
        <x:v>Justice</x:v>
      </x:c>
      <x:c r="B22" s="7" t="str"/>
      <x:c r="C22" s="7" t="str"/>
      <x:c r="D22" s="7" t="str"/>
      <x:c r="E22" s="9" t="str"/>
      <x:c r="F22" s="7" t="str"/>
      <x:c r="G22" s="7" t="str">
        <x:v>Open</x:v>
      </x:c>
      <x:c r="H22" s="7" t="str"/>
      <x:c r="I22" s="8" t="str"/>
    </x:row>
    <x:row r="23" ht="23" customHeight="1">
      <x:c r="A23" s="7" t="str">
        <x:v>The Hanged Man</x:v>
      </x:c>
      <x:c r="B23" s="7" t="str">
        <x:v>Pavel Sokolov</x:v>
      </x:c>
      <x:c r="C23" s="7" t="str">
        <x:v>Far North</x:v>
      </x:c>
      <x:c r="D23" s="7" t="str">
        <x:v>Character</x:v>
      </x:c>
      <x:c r="E23" s="9" t="str">
        <x:f>HYPERLINK("file:///C:/Users/Drew/Documents/MythCards/assets/characters/pavel-sokolov-the-hanged-man-character-card-art.png","Open art")</x:f>
        <x:v>Open art</x:v>
      </x:c>
      <x:c r="F23" s="7" t="str">
        <x:v>Saved</x:v>
      </x:c>
      <x:c r="G23" s="7" t="str">
        <x:v>Mapped</x:v>
      </x:c>
      <x:c r="H23" s="7" t="str">
        <x:v>Draft</x:v>
      </x:c>
      <x:c r="I23" s="8" t="str"/>
    </x:row>
    <x:row r="24" ht="23" customHeight="1">
      <x:c r="A24" s="7" t="str">
        <x:v>Death</x:v>
      </x:c>
      <x:c r="B24" s="7" t="str"/>
      <x:c r="C24" s="7" t="str"/>
      <x:c r="D24" s="7" t="str"/>
      <x:c r="E24" s="9" t="str"/>
      <x:c r="F24" s="7" t="str"/>
      <x:c r="G24" s="7" t="str">
        <x:v>Open</x:v>
      </x:c>
      <x:c r="H24" s="7" t="str"/>
      <x:c r="I24" s="8" t="str"/>
    </x:row>
    <x:row r="25" ht="23" customHeight="1">
      <x:c r="A25" s="7" t="str">
        <x:v>Temperance</x:v>
      </x:c>
      <x:c r="B25" s="7" t="str">
        <x:v>Anya Lebedeva / Signal Escape Artist</x:v>
      </x:c>
      <x:c r="C25" s="7" t="str">
        <x:v>Closed City</x:v>
      </x:c>
      <x:c r="D25" s="7" t="str">
        <x:v>Character</x:v>
      </x:c>
      <x:c r="E25" s="9" t="str">
        <x:f>HYPERLINK("file:///C:/Users/Drew/Documents/MythCards/assets/characters/anya-lebedeva-signal-escape-artist-temperance-character-card-art.png","Open art")</x:f>
        <x:v>Open art</x:v>
      </x:c>
      <x:c r="F25" s="7" t="str">
        <x:v>Saved</x:v>
      </x:c>
      <x:c r="G25" s="7" t="str">
        <x:v>Conflict</x:v>
      </x:c>
      <x:c r="H25" s="7" t="str">
        <x:v>Draft</x:v>
      </x:c>
      <x:c r="I25" s="8" t="str">
        <x:v>Temperance was checked open in the Russian tarot tracker before assignment. Art should show Anya balancing two signals, two vessels, or two realities inside a sealed Closed City threshold, with analog relay cabinets, warning lamps, condensation, and an impossible corridor opening toward aurora-lit snow.</x:v>
      </x:c>
    </x:row>
    <x:row r="26" ht="23" customHeight="1">
      <x:c r="A26" s="7" t="str">
        <x:v>Temperance</x:v>
      </x:c>
      <x:c r="B26" s="7" t="str">
        <x:v>Marya Zima</x:v>
      </x:c>
      <x:c r="C26" s="7" t="str">
        <x:v>Winter Front</x:v>
      </x:c>
      <x:c r="D26" s="7" t="str">
        <x:v>Character</x:v>
      </x:c>
      <x:c r="E26" s="9" t="str">
        <x:f>HYPERLINK("file:///C:/Users/Drew/Documents/MythCards/assets/characters/marya-zima-field-nurse-temperance-character-card-art.png","Open art")</x:f>
        <x:v>Open art</x:v>
      </x:c>
      <x:c r="F26" s="7" t="str">
        <x:v>Saved</x:v>
      </x:c>
      <x:c r="G26" s="7" t="str">
        <x:v>Conflict</x:v>
      </x:c>
      <x:c r="H26" s="7" t="str">
        <x:v>Draft</x:v>
      </x:c>
      <x:c r="I26" s="8" t="str"/>
    </x:row>
    <x:row r="27" ht="23" customHeight="1">
      <x:c r="A27" s="7" t="str">
        <x:v>The Devil</x:v>
      </x:c>
      <x:c r="B27" s="7" t="str">
        <x:v>Karpova's Black Key</x:v>
      </x:c>
      <x:c r="C27" s="7" t="str">
        <x:v>Closed City</x:v>
      </x:c>
      <x:c r="D27" s="7" t="str">
        <x:v>Relic</x:v>
      </x:c>
      <x:c r="E27" s="9" t="str">
        <x:f>HYPERLINK("file:///C:/Users/Drew/Documents/MythCards/assets/relics/closed-city-karpovas-black-key-the-devil-relic-art.png","Open art")</x:f>
        <x:v>Open art</x:v>
      </x:c>
      <x:c r="F27" s="7" t="str">
        <x:v>Saved</x:v>
      </x:c>
      <x:c r="G27" s="7" t="str">
        <x:v>Conflict</x:v>
      </x:c>
      <x:c r="H27" s="7" t="str">
        <x:v>Approved</x:v>
      </x:c>
      <x:c r="I27" s="8" t="str"/>
    </x:row>
    <x:row r="28" ht="23" customHeight="1">
      <x:c r="A28" s="7" t="str">
        <x:v>The Devil</x:v>
      </x:c>
      <x:c r="B28" s="7" t="str">
        <x:v>Enemy Cache Unearthed</x:v>
      </x:c>
      <x:c r="C28" s="7" t="str">
        <x:v>Winter Front</x:v>
      </x:c>
      <x:c r="D28" s="7" t="str">
        <x:v>Event</x:v>
      </x:c>
      <x:c r="E28" s="9" t="str">
        <x:f>HYPERLINK("file:///C:/Users/Drew/Documents/MythCards/assets/events/winter-front-enemy-cache-unearthed-the-devil-event-art.png","Open art")</x:f>
        <x:v>Open art</x:v>
      </x:c>
      <x:c r="F28" s="7" t="str">
        <x:v>Saved</x:v>
      </x:c>
      <x:c r="G28" s="7" t="str">
        <x:v>Conflict</x:v>
      </x:c>
      <x:c r="H28" s="7" t="str">
        <x:v>Draft</x:v>
      </x:c>
      <x:c r="I28" s="8" t="str"/>
    </x:row>
    <x:row r="29" ht="23" customHeight="1">
      <x:c r="A29" s="7" t="str">
        <x:v>The Tower</x:v>
      </x:c>
      <x:c r="B29" s="7" t="str">
        <x:v>Closed City Incident</x:v>
      </x:c>
      <x:c r="C29" s="7" t="str">
        <x:v>Closed City</x:v>
      </x:c>
      <x:c r="D29" s="7" t="str">
        <x:v>Event</x:v>
      </x:c>
      <x:c r="E29" s="9" t="str">
        <x:f>HYPERLINK("file:///C:/Users/Drew/Documents/MythCards/assets/events/closed-city-incident-the-tower-event-art.png","Open art")</x:f>
        <x:v>Open art</x:v>
      </x:c>
      <x:c r="F29" s="7" t="str">
        <x:v>Saved</x:v>
      </x:c>
      <x:c r="G29" s="7" t="str">
        <x:v>Mapped</x:v>
      </x:c>
      <x:c r="H29" s="7" t="str">
        <x:v>Approved</x:v>
      </x:c>
      <x:c r="I29" s="8" t="str"/>
    </x:row>
    <x:row r="30" ht="23" customHeight="1">
      <x:c r="A30" s="7" t="str">
        <x:v>The Star</x:v>
      </x:c>
      <x:c r="B30" s="7" t="str">
        <x:v>Nadia Belaya</x:v>
      </x:c>
      <x:c r="C30" s="7" t="str">
        <x:v>Far North</x:v>
      </x:c>
      <x:c r="D30" s="7" t="str">
        <x:v>Character</x:v>
      </x:c>
      <x:c r="E30" s="9" t="str">
        <x:f>HYPERLINK("file:///C:/Users/Drew/Documents/MythCards/assets/characters/nadia-belaya-the-star-character-card-art.png","Open art")</x:f>
        <x:v>Open art</x:v>
      </x:c>
      <x:c r="F30" s="7" t="str">
        <x:v>Saved</x:v>
      </x:c>
      <x:c r="G30" s="7" t="str">
        <x:v>Mapped</x:v>
      </x:c>
      <x:c r="H30" s="7" t="str">
        <x:v>Approved</x:v>
      </x:c>
      <x:c r="I30" s="8" t="str"/>
    </x:row>
    <x:row r="31" ht="23" customHeight="1">
      <x:c r="A31" s="7" t="str">
        <x:v>The Moon</x:v>
      </x:c>
      <x:c r="B31" s="7" t="str">
        <x:v>Subject 3: Zoya / Zoya Miranova</x:v>
      </x:c>
      <x:c r="C31" s="7" t="str">
        <x:v>Closed City</x:v>
      </x:c>
      <x:c r="D31" s="7" t="str">
        <x:v>Character</x:v>
      </x:c>
      <x:c r="E31" s="9" t="str">
        <x:f>HYPERLINK("file:///C:/Users/Drew/Documents/MythCards/assets/characters/subject-3-zoya-the-moon-character-card-art-corrected.png","Open art")</x:f>
        <x:v>Open art</x:v>
      </x:c>
      <x:c r="F31" s="7" t="str">
        <x:v>Saved</x:v>
      </x:c>
      <x:c r="G31" s="7" t="str">
        <x:v>Conflict</x:v>
      </x:c>
      <x:c r="H31" s="7" t="str">
        <x:v>Approved</x:v>
      </x:c>
      <x:c r="I31" s="8" t="str">
        <x:v>Corrected variant keeps the Closed City lab functional and humid rather than literally flooded; Moon symbolism comes from fogged glass, CRT crescents, lunar light, reflections, and hidden observer silhouettes.</x:v>
      </x:c>
    </x:row>
    <x:row r="32" ht="23" customHeight="1">
      <x:c r="A32" s="7" t="str">
        <x:v>The Moon</x:v>
      </x:c>
      <x:c r="B32" s="7" t="str">
        <x:v>The Cabin Rite</x:v>
      </x:c>
      <x:c r="C32" s="7" t="str">
        <x:v>Winter Front</x:v>
      </x:c>
      <x:c r="D32" s="7" t="str">
        <x:v>Event</x:v>
      </x:c>
      <x:c r="E32" s="9" t="str">
        <x:f>HYPERLINK("file:///C:/Users/Drew/Documents/MythCards/assets/events/winter-front-the-cabin-rite-the-moon-event-art-v2.png","Open art")</x:f>
        <x:v>Open art</x:v>
      </x:c>
      <x:c r="F32" s="7" t="str">
        <x:v>Saved</x:v>
      </x:c>
      <x:c r="G32" s="7" t="str">
        <x:v>Conflict</x:v>
      </x:c>
      <x:c r="H32" s="7" t="str">
        <x:v>Draft</x:v>
      </x:c>
      <x:c r="I32" s="8" t="str"/>
    </x:row>
    <x:row r="33" ht="23" customHeight="1">
      <x:c r="A33" s="7" t="str">
        <x:v>The Sun</x:v>
      </x:c>
      <x:c r="B33" s="7" t="str">
        <x:v>Reactor Prayer</x:v>
      </x:c>
      <x:c r="C33" s="7" t="str">
        <x:v>Closed City</x:v>
      </x:c>
      <x:c r="D33" s="7" t="str">
        <x:v>Event</x:v>
      </x:c>
      <x:c r="E33" s="9" t="str">
        <x:f>HYPERLINK("file:///C:/Users/Drew/Documents/MythCards/assets/events/closed-city-reactor-prayer-the-sun-event-art.png","Open art")</x:f>
        <x:v>Open art</x:v>
      </x:c>
      <x:c r="F33" s="7" t="str">
        <x:v>Saved</x:v>
      </x:c>
      <x:c r="G33" s="7" t="str">
        <x:v>Mapped</x:v>
      </x:c>
      <x:c r="H33" s="7" t="str">
        <x:v>Approved</x:v>
      </x:c>
      <x:c r="I33" s="8" t="str"/>
    </x:row>
    <x:row r="34" ht="23" customHeight="1">
      <x:c r="A34" s="7" t="str">
        <x:v>Judgement</x:v>
      </x:c>
      <x:c r="B34" s="7" t="str">
        <x:v>The Meteor Wakes Under Snow</x:v>
      </x:c>
      <x:c r="C34" s="7" t="str">
        <x:v>Far North</x:v>
      </x:c>
      <x:c r="D34" s="7" t="str">
        <x:v>Event</x:v>
      </x:c>
      <x:c r="E34" s="9" t="str">
        <x:f>HYPERLINK("file:///C:/Users/Drew/Documents/MythCards/assets/events/far-north-the-meteor-wakes-under-snow-judgement-event-art.png","Open art")</x:f>
        <x:v>Open art</x:v>
      </x:c>
      <x:c r="F34" s="7" t="str">
        <x:v>Saved</x:v>
      </x:c>
      <x:c r="G34" s="7" t="str">
        <x:v>Mapped</x:v>
      </x:c>
      <x:c r="H34" s="7" t="str">
        <x:v>Draft</x:v>
      </x:c>
      <x:c r="I34" s="8" t="str">
        <x:v>Event art centers the cracked meteor hollow, black glass fragments, tiny witnesses, and an aurora shaped like a natural calling horn with ghostly memory-figures rising through it.</x:v>
      </x:c>
    </x:row>
    <x:row r="35" ht="23" customHeight="1">
      <x:c r="A35" s="7" t="str">
        <x:v>The World</x:v>
      </x:c>
      <x:c r="B35" s="7" t="str">
        <x:v>The First Card Appears</x:v>
      </x:c>
      <x:c r="C35" s="7" t="str">
        <x:v>Closed City</x:v>
      </x:c>
      <x:c r="D35" s="7" t="str">
        <x:v>Event</x:v>
      </x:c>
      <x:c r="E35" s="9" t="str">
        <x:f>HYPERLINK("file:///C:/Users/Drew/Documents/MythCards/assets/events/closed-city-the-first-card-appears-the-world-event-art.png","Open art")</x:f>
        <x:v>Open art</x:v>
      </x:c>
      <x:c r="F35" s="7" t="str">
        <x:v>Saved</x:v>
      </x:c>
      <x:c r="G35" s="7" t="str">
        <x:v>Conflict</x:v>
      </x:c>
      <x:c r="H35" s="7" t="str">
        <x:v>Approved</x:v>
      </x:c>
      <x:c r="I35" s="8" t="str"/>
    </x:row>
    <x:row r="36" ht="23" customHeight="1">
      <x:c r="A36" s="7" t="str">
        <x:v>The World</x:v>
      </x:c>
      <x:c r="B36" s="7" t="str">
        <x:v>Aal Luuk Mas Root</x:v>
      </x:c>
      <x:c r="C36" s="7" t="str">
        <x:v>Far North</x:v>
      </x:c>
      <x:c r="D36" s="7" t="str">
        <x:v>Relic</x:v>
      </x:c>
      <x:c r="E36" s="9" t="str">
        <x:f>HYPERLINK("file:///C:/Users/Drew/Documents/MythCards/assets/relics/aal-luuk-mas-root-the-world-rare-relic-art.png","Open art")</x:f>
        <x:v>Open art</x:v>
      </x:c>
      <x:c r="F36" s="7" t="str">
        <x:v>Saved</x:v>
      </x:c>
      <x:c r="G36" s="7" t="str">
        <x:v>Conflict</x:v>
      </x:c>
      <x:c r="H36" s="7" t="str">
        <x:v>Approved</x:v>
      </x:c>
      <x:c r="I36" s="8" t="str"/>
    </x:row>
    <x:row r="37" ht="23" customHeight="1">
      <x:c r="A37" s="7" t="str">
        <x:v>Ace of Wands</x:v>
      </x:c>
      <x:c r="B37" s="7" t="str">
        <x:v>Aurora Opens Like A Door</x:v>
      </x:c>
      <x:c r="C37" s="7" t="str">
        <x:v>Far North</x:v>
      </x:c>
      <x:c r="D37" s="7" t="str">
        <x:v>Event</x:v>
      </x:c>
      <x:c r="E37" s="9" t="str">
        <x:f>HYPERLINK("file:///C:/Users/Drew/Documents/MythCards/assets/events/far-north-aurora-opens-like-a-door-ace-of-wands-event-art.png","Open art")</x:f>
        <x:v>Open art</x:v>
      </x:c>
      <x:c r="F37" s="7" t="str">
        <x:v>Saved</x:v>
      </x:c>
      <x:c r="G37" s="7" t="str">
        <x:v>Conflict</x:v>
      </x:c>
      <x:c r="H37" s="7" t="str">
        <x:v>Draft</x:v>
      </x:c>
      <x:c r="I37" s="8" t="str">
        <x:v>Event art uses one dominant vertical aurora column as a living wand/door, with snow, track lines, and black meteor glass reacting at the base while Buran remains a small answering presence.</x:v>
      </x:c>
    </x:row>
    <x:row r="38" ht="23" customHeight="1">
      <x:c r="A38" s="7" t="str">
        <x:v>Ace of Wands</x:v>
      </x:c>
      <x:c r="B38" s="7" t="str">
        <x:v>Black Snow Cartridge</x:v>
      </x:c>
      <x:c r="C38" s="7" t="str">
        <x:v>Winter Front</x:v>
      </x:c>
      <x:c r="D38" s="7" t="str">
        <x:v>Relic</x:v>
      </x:c>
      <x:c r="E38" s="9" t="str"/>
      <x:c r="F38" s="7" t="str">
        <x:v>Missing</x:v>
      </x:c>
      <x:c r="G38" s="7" t="str">
        <x:v>Conflict</x:v>
      </x:c>
      <x:c r="H38" s="7" t="str">
        <x:v>Draft</x:v>
      </x:c>
      <x:c r="I38" s="8" t="str"/>
    </x:row>
    <x:row r="39" ht="23" customHeight="1">
      <x:c r="A39" s="7" t="str">
        <x:v>Two of Wands</x:v>
      </x:c>
      <x:c r="B39" s="7" t="str">
        <x:v>Volkov's Red Map</x:v>
      </x:c>
      <x:c r="C39" s="7" t="str">
        <x:v>Winter Front</x:v>
      </x:c>
      <x:c r="D39" s="7" t="str">
        <x:v>Relic</x:v>
      </x:c>
      <x:c r="E39" s="9" t="str">
        <x:f>HYPERLINK("file:///C:/Users/Drew/Documents/MythCards/assets/relics/winter-front-volkovs-red-map-two-of-wands-relic-art.png","Open art")</x:f>
        <x:v>Open art</x:v>
      </x:c>
      <x:c r="F39" s="7" t="str">
        <x:v>Saved</x:v>
      </x:c>
      <x:c r="G39" s="7" t="str">
        <x:v>Mapped</x:v>
      </x:c>
      <x:c r="H39" s="7" t="str">
        <x:v>Draft</x:v>
      </x:c>
      <x:c r="I39" s="8" t="str">
        <x:v>Approved relic art shows two black field rods over a red-stained command map, with Volkov's family/home traces and a face-down icon revealing the personal cost of choosing the impossible route.</x:v>
      </x:c>
    </x:row>
    <x:row r="40" ht="23" customHeight="1">
      <x:c r="A40" s="7" t="str">
        <x:v>Three of Wands</x:v>
      </x:c>
      <x:c r="B40" s="7" t="str">
        <x:v>The Horizon Lens</x:v>
      </x:c>
      <x:c r="C40" s="7" t="str">
        <x:v>Winter Front</x:v>
      </x:c>
      <x:c r="D40" s="7" t="str">
        <x:v>Relic</x:v>
      </x:c>
      <x:c r="E40" s="9" t="str">
        <x:f>HYPERLINK("file:///C:/Users/Drew/Documents/MythCards/assets/relics/winter-front-horizon-lens-three-of-wands-relic-art.png","Open art")</x:f>
        <x:v>Open art</x:v>
      </x:c>
      <x:c r="F40" s="7" t="str">
        <x:v>Saved</x:v>
      </x:c>
      <x:c r="G40" s="7" t="str">
        <x:v>Mapped</x:v>
      </x:c>
      <x:c r="H40" s="7" t="str">
        <x:v>Draft</x:v>
      </x:c>
      <x:c r="I40" s="8" t="str">
        <x:v>Approved revision zooms into the cracked brass lens so the three visions appear only inside the glass, while the outside trench remains grounded and normal.</x:v>
      </x:c>
    </x:row>
    <x:row r="41" ht="23" customHeight="1">
      <x:c r="A41" s="7" t="str">
        <x:v>Four of Wands</x:v>
      </x:c>
      <x:c r="B41" s="7" t="str">
        <x:v>Hearthstone Antler Crown</x:v>
      </x:c>
      <x:c r="C41" s="7" t="str">
        <x:v>Far North</x:v>
      </x:c>
      <x:c r="D41" s="7" t="str">
        <x:v>Relic</x:v>
      </x:c>
      <x:c r="E41" s="9" t="str">
        <x:f>HYPERLINK("file:///C:/Users/Drew/Documents/MythCards/assets/relics/far-north-hearthstone-antler-crown-four-of-wands-relic-art.png","Open art")</x:f>
        <x:v>Open art</x:v>
      </x:c>
      <x:c r="F41" s="7" t="str">
        <x:v>Saved</x:v>
      </x:c>
      <x:c r="G41" s="7" t="str">
        <x:v>Mapped</x:v>
      </x:c>
      <x:c r="H41" s="7" t="str">
        <x:v>Approved</x:v>
      </x:c>
      <x:c r="I41" s="8" t="str">
        <x:v>Approved relic art shows the village celebration gathered around the ancient antler-and-stone relic, with four decorated posts forming the Four of Wands structure.</x:v>
      </x:c>
    </x:row>
    <x:row r="42" ht="23" customHeight="1">
      <x:c r="A42" s="7" t="str">
        <x:v>Five of Wands</x:v>
      </x:c>
      <x:c r="B42" s="7" t="str">
        <x:v>Volkov Sends Another Wave</x:v>
      </x:c>
      <x:c r="C42" s="7" t="str">
        <x:v>Winter Front</x:v>
      </x:c>
      <x:c r="D42" s="7" t="str">
        <x:v>Event</x:v>
      </x:c>
      <x:c r="E42" s="9" t="str">
        <x:f>HYPERLINK("file:///C:/Users/Drew/Documents/MythCards/assets/events/winter-front-volkov-sends-another-wave-five-of-wands-event-art.png","Open art")</x:f>
        <x:v>Open art</x:v>
      </x:c>
      <x:c r="F42" s="7" t="str">
        <x:v>Saved</x:v>
      </x:c>
      <x:c r="G42" s="7" t="str">
        <x:v>Mapped</x:v>
      </x:c>
      <x:c r="H42" s="7" t="str">
        <x:v>Draft</x:v>
      </x:c>
      <x:c r="I42" s="8" t="str"/>
    </x:row>
    <x:row r="43" ht="23" customHeight="1">
      <x:c r="A43" s="7" t="str">
        <x:v>Six of Wands</x:v>
      </x:c>
      <x:c r="B43" s="7" t="str">
        <x:v>Alexei Vranov / Cache-Born Hero</x:v>
      </x:c>
      <x:c r="C43" s="7" t="str">
        <x:v>Winter Front</x:v>
      </x:c>
      <x:c r="D43" s="7" t="str">
        <x:v>Character</x:v>
      </x:c>
      <x:c r="E43" s="9" t="str">
        <x:f>HYPERLINK("file:///C:/Users/Drew/Documents/MythCards/assets/characters/alexei-vranov-cache-born-hero-six-of-wands-character-card-art.png","Open art")</x:f>
        <x:v>Open art</x:v>
      </x:c>
      <x:c r="F43" s="7" t="str">
        <x:v>Saved</x:v>
      </x:c>
      <x:c r="G43" s="7" t="str">
        <x:v>Mapped</x:v>
      </x:c>
      <x:c r="H43" s="7" t="str">
        <x:v>Draft</x:v>
      </x:c>
      <x:c r="I43" s="8" t="str">
        <x:v>Rare Hero art shows Alexei with the black-and-gold Atlantean standard, Marya Zima as the female witness, and cross-area reflections tying pre-flood Atlantis, future Closed City, and the Far North meteor.</x:v>
      </x:c>
    </x:row>
    <x:row r="44" ht="23" customHeight="1">
      <x:c r="A44" s="7" t="str">
        <x:v>Seven of Wands</x:v>
      </x:c>
      <x:c r="B44" s="7" t="str">
        <x:v>The Ridge Rifle</x:v>
      </x:c>
      <x:c r="C44" s="7" t="str">
        <x:v>Winter Front</x:v>
      </x:c>
      <x:c r="D44" s="7" t="str">
        <x:v>Relic</x:v>
      </x:c>
      <x:c r="E44" s="9" t="str">
        <x:f>HYPERLINK("file:///C:/Users/Drew/Documents/MythCards/assets/relics/winter-front-ridge-rifle-seven-of-wands-relic-art.png","Open art")</x:f>
        <x:v>Open art</x:v>
      </x:c>
      <x:c r="F44" s="7" t="str">
        <x:v>Saved</x:v>
      </x:c>
      <x:c r="G44" s="7" t="str">
        <x:v>Mapped</x:v>
      </x:c>
      <x:c r="H44" s="7" t="str">
        <x:v>Draft</x:v>
      </x:c>
      <x:c r="I44" s="8" t="str">
        <x:v>Approved relic art centers the sniper rifle as a defensive line object tied to Irina and the Winter Front ridge.</x:v>
      </x:c>
    </x:row>
    <x:row r="45" ht="23" customHeight="1">
      <x:c r="A45" s="7" t="str">
        <x:v>Eight of Wands</x:v>
      </x:c>
      <x:c r="B45" s="7" t="str">
        <x:v>Signal Array Turns</x:v>
      </x:c>
      <x:c r="C45" s="7" t="str">
        <x:v>Closed City</x:v>
      </x:c>
      <x:c r="D45" s="7" t="str">
        <x:v>Event</x:v>
      </x:c>
      <x:c r="E45" s="9" t="str">
        <x:f>HYPERLINK("file:///C:/Users/Drew/Documents/MythCards/assets/events/closed-city-signal-array-turns-eight-of-wands-event-art.png","Open art")</x:f>
        <x:v>Open art</x:v>
      </x:c>
      <x:c r="F45" s="7" t="str">
        <x:v>Saved</x:v>
      </x:c>
      <x:c r="G45" s="7" t="str">
        <x:v>Mapped</x:v>
      </x:c>
      <x:c r="H45" s="7" t="str">
        <x:v>Approved</x:v>
      </x:c>
      <x:c r="I45" s="8" t="str"/>
    </x:row>
    <x:row r="46" ht="23" customHeight="1">
      <x:c r="A46" s="7" t="str">
        <x:v>Nine of Wands</x:v>
      </x:c>
      <x:c r="B46" s="7" t="str">
        <x:v>Oleg Baranov / Iron Strongman</x:v>
      </x:c>
      <x:c r="C46" s="7" t="str">
        <x:v>Far North</x:v>
      </x:c>
      <x:c r="D46" s="7" t="str">
        <x:v>Character</x:v>
      </x:c>
      <x:c r="E46" s="9" t="str">
        <x:f>HYPERLINK("file:///C:/Users/Drew/Documents/MythCards/assets/characters/oleg-baranov-iron-strongman-nine-of-wands-character-card-art-v2.png","Open art")</x:f>
        <x:v>Open art</x:v>
      </x:c>
      <x:c r="F46" s="7" t="str">
        <x:v>Saved</x:v>
      </x:c>
      <x:c r="G46" s="7" t="str">
        <x:v>Mapped</x:v>
      </x:c>
      <x:c r="H46" s="7" t="str">
        <x:v>Draft</x:v>
      </x:c>
      <x:c r="I46" s="8" t="str">
        <x:v>Corrected card art uses jet-black hair and beard for Oleg, and exactly nine vertical boundary stakes/poles to make the Nine of Wands mapping explicit.</x:v>
      </x:c>
    </x:row>
    <x:row r="47" ht="23" customHeight="1">
      <x:c r="A47" s="7" t="str">
        <x:v>Ten of Wands</x:v>
      </x:c>
      <x:c r="B47" s="7" t="str">
        <x:v>Rifle Company Soldier</x:v>
      </x:c>
      <x:c r="C47" s="7" t="str">
        <x:v>Winter Front</x:v>
      </x:c>
      <x:c r="D47" s="7" t="str">
        <x:v>Character</x:v>
      </x:c>
      <x:c r="E47" s="9" t="str">
        <x:f>HYPERLINK("file:///C:/Users/Drew/Documents/MythCards/assets/characters/stepan-kuznetsov-rifle-company-soldier-ten-of-wands-character-card-art.png","Open art")</x:f>
        <x:v>Open art</x:v>
      </x:c>
      <x:c r="F47" s="7" t="str">
        <x:v>Saved</x:v>
      </x:c>
      <x:c r="G47" s="7" t="str">
        <x:v>Mapped</x:v>
      </x:c>
      <x:c r="H47" s="7" t="str">
        <x:v>Draft</x:v>
      </x:c>
      <x:c r="I47" s="8" t="str"/>
    </x:row>
    <x:row r="48" ht="23" customHeight="1">
      <x:c r="A48" s="7" t="str">
        <x:v>Page of Wands</x:v>
      </x:c>
      <x:c r="B48" s="7" t="str">
        <x:v>Mila Vetrova / Gymnast</x:v>
      </x:c>
      <x:c r="C48" s="7" t="str">
        <x:v>Far North</x:v>
      </x:c>
      <x:c r="D48" s="7" t="str">
        <x:v>Character</x:v>
      </x:c>
      <x:c r="E48" s="9" t="str">
        <x:f>HYPERLINK("file:///C:/Users/Drew/Documents/MythCards/assets/characters/mila-vetrova-gymnast-page-of-wands-character-card-art.png","Open art")</x:f>
        <x:v>Open art</x:v>
      </x:c>
      <x:c r="F48" s="7" t="str">
        <x:v>Saved</x:v>
      </x:c>
      <x:c r="G48" s="7" t="str">
        <x:v>Mapped</x:v>
      </x:c>
      <x:c r="H48" s="7" t="str">
        <x:v>Draft</x:v>
      </x:c>
      <x:c r="I48" s="8" t="str"/>
    </x:row>
    <x:row r="49" ht="23" customHeight="1">
      <x:c r="A49" s="7" t="str">
        <x:v>Knight of Wands</x:v>
      </x:c>
      <x:c r="B49" s="7" t="str">
        <x:v>Buran / White Siberian Tiger</x:v>
      </x:c>
      <x:c r="C49" s="7" t="str">
        <x:v>Far North</x:v>
      </x:c>
      <x:c r="D49" s="7" t="str">
        <x:v>Character</x:v>
      </x:c>
      <x:c r="E49" s="9" t="str">
        <x:f>HYPERLINK("file:///C:/Users/Drew/Documents/MythCards/assets/characters/buran-white-siberian-tiger-knight-of-wands-character-card-art.png","Open art")</x:f>
        <x:v>Open art</x:v>
      </x:c>
      <x:c r="F49" s="7" t="str">
        <x:v>Saved</x:v>
      </x:c>
      <x:c r="G49" s="7" t="str">
        <x:v>Mapped</x:v>
      </x:c>
      <x:c r="H49" s="7" t="str">
        <x:v>Draft</x:v>
      </x:c>
      <x:c r="I49" s="8" t="str"/>
    </x:row>
    <x:row r="50" ht="23" customHeight="1">
      <x:c r="A50" s="7" t="str">
        <x:v>Queen of Wands</x:v>
      </x:c>
      <x:c r="B50" s="7" t="str">
        <x:v>Vera Kargina / Meteor Spear</x:v>
      </x:c>
      <x:c r="C50" s="7" t="str">
        <x:v>Far North</x:v>
      </x:c>
      <x:c r="D50" s="7" t="str">
        <x:v>Character</x:v>
      </x:c>
      <x:c r="E50" s="9" t="str">
        <x:f>HYPERLINK("file:///C:/Users/Drew/Documents/MythCards/assets/characters/vera-kargina-meteor-spear-queen-of-wands-character-card-art-v3.png","Open art")</x:f>
        <x:v>Open art</x:v>
      </x:c>
      <x:c r="F50" s="7" t="str">
        <x:v>Saved</x:v>
      </x:c>
      <x:c r="G50" s="7" t="str">
        <x:v>Mapped</x:v>
      </x:c>
      <x:c r="H50" s="7" t="str">
        <x:v>Draft</x:v>
      </x:c>
      <x:c r="I50" s="8" t="str">
        <x:v>V3 keeps the younger, more vital Queen of Wands direction from v2 while adding red ribbons in Vera's hair and a practical riding harness on Buran to show their mount/leader relationship.</x:v>
      </x:c>
    </x:row>
    <x:row r="51" ht="23" customHeight="1">
      <x:c r="A51" s="7" t="str">
        <x:v>King of Wands</x:v>
      </x:c>
      <x:c r="B51" s="7" t="str">
        <x:v>Bogatyr Champion</x:v>
      </x:c>
      <x:c r="C51" s="7" t="str">
        <x:v>Winter Front</x:v>
      </x:c>
      <x:c r="D51" s="7" t="str">
        <x:v>Character</x:v>
      </x:c>
      <x:c r="E51" s="9" t="str">
        <x:f>HYPERLINK("file:///C:/Users/Drew/Documents/MythCards/assets/characters/ilya-voronin-bogatyr-champion-king-of-wands-character-card-art-v2.png","Open art")</x:f>
        <x:v>Open art</x:v>
      </x:c>
      <x:c r="F51" s="7" t="str">
        <x:v>Saved</x:v>
      </x:c>
      <x:c r="G51" s="7" t="str">
        <x:v>Mapped</x:v>
      </x:c>
      <x:c r="H51" s="7" t="str">
        <x:v>Draft</x:v>
      </x:c>
      <x:c r="I51" s="8" t="str"/>
    </x:row>
    <x:row r="52" ht="23" customHeight="1">
      <x:c r="A52" s="7" t="str">
        <x:v>Ace of Cups</x:v>
      </x:c>
      <x:c r="B52" s="7" t="str">
        <x:v>Hospital Orderly / Galina Reznik</x:v>
      </x:c>
      <x:c r="C52" s="7" t="str">
        <x:v>Closed City</x:v>
      </x:c>
      <x:c r="D52" s="7" t="str">
        <x:v>Character</x:v>
      </x:c>
      <x:c r="E52" s="9" t="str">
        <x:f>HYPERLINK("file:///C:/Users/Drew/Documents/MythCards/assets/characters/galina-reznik-hospital-orderly-ace-of-cups-character-card-art.png","Open art")</x:f>
        <x:v>Open art</x:v>
      </x:c>
      <x:c r="F52" s="7" t="str">
        <x:v>Saved</x:v>
      </x:c>
      <x:c r="G52" s="7" t="str">
        <x:v>Mapped</x:v>
      </x:c>
      <x:c r="H52" s="7" t="str">
        <x:v>Draft</x:v>
      </x:c>
      <x:c r="I52" s="8" t="str">
        <x:v>Ace of Cups was checked as unused in the Russian tarot tracker before assignment. The card should feel medical, intimate, and occult-scientific: a night ward, enamel basin, IV glass, iodine, black frost, and the suggestion that mercy itself is becoming a breach.</x:v>
      </x:c>
    </x:row>
    <x:row r="53" ht="23" customHeight="1">
      <x:c r="A53" s="7" t="str">
        <x:v>Two of Cups</x:v>
      </x:c>
      <x:c r="B53" s="7" t="str">
        <x:v>Tent Lights In The Whiteout</x:v>
      </x:c>
      <x:c r="C53" s="7" t="str">
        <x:v>Far North</x:v>
      </x:c>
      <x:c r="D53" s="7" t="str">
        <x:v>Event</x:v>
      </x:c>
      <x:c r="E53" s="9" t="str">
        <x:f>HYPERLINK("file:///C:/Users/Drew/Documents/MythCards/assets/events/far-north-tent-lights-in-the-whiteout-two-of-cups-event-art-v3.png","Open art")</x:f>
        <x:v>Open art</x:v>
      </x:c>
      <x:c r="F53" s="7" t="str">
        <x:v>Saved</x:v>
      </x:c>
      <x:c r="G53" s="7" t="str">
        <x:v>Mapped</x:v>
      </x:c>
      <x:c r="H53" s="7" t="str">
        <x:v>Draft</x:v>
      </x:c>
      <x:c r="I53" s="8" t="str">
        <x:v>V3 preserves Pavel and Mila sharing exactly two humble metal vodka cups in the tent light, keeps the established Sky-Hide Mirror looped frame, and makes the mirror feel more naturally grounded in the scene.</x:v>
      </x:c>
    </x:row>
    <x:row r="54" ht="23" customHeight="1">
      <x:c r="A54" s="7" t="str">
        <x:v>Three of Cups</x:v>
      </x:c>
      <x:c r="B54" s="7" t="str">
        <x:v>The Sister-Vow Binding</x:v>
      </x:c>
      <x:c r="C54" s="7" t="str">
        <x:v>Winter Front</x:v>
      </x:c>
      <x:c r="D54" s="7" t="str">
        <x:v>Relic</x:v>
      </x:c>
      <x:c r="E54" s="9" t="str">
        <x:f>HYPERLINK("file:///C:/Users/Drew/Documents/MythCards/assets/relics/winter-front-sister-vow-binding-three-of-cups-relic-art.png","Open art")</x:f>
        <x:v>Open art</x:v>
      </x:c>
      <x:c r="F54" s="7" t="str">
        <x:v>Saved</x:v>
      </x:c>
      <x:c r="G54" s="7" t="str">
        <x:v>Mapped</x:v>
      </x:c>
      <x:c r="H54" s="7" t="str">
        <x:v>Draft</x:v>
      </x:c>
      <x:c r="I54" s="8" t="str">
        <x:v>Approved relic art keeps exactly three cups in the warm memory scene, exactly three hanging cup-lockets, and Darya's long red-white prayer cloth wrapping through the charm and bayonet without showing a blunt end.</x:v>
      </x:c>
    </x:row>
    <x:row r="55" ht="23" customHeight="1">
      <x:c r="A55" s="7" t="str">
        <x:v>Four of Cups</x:v>
      </x:c>
      <x:c r="B55" s="7" t="str">
        <x:v>The Village Refuses The Signal</x:v>
      </x:c>
      <x:c r="C55" s="7" t="str">
        <x:v>Far North</x:v>
      </x:c>
      <x:c r="D55" s="7" t="str">
        <x:v>Event</x:v>
      </x:c>
      <x:c r="E55" s="9" t="str">
        <x:f>HYPERLINK("file:///C:/Users/Drew/Documents/MythCards/assets/events/far-north-the-village-refuses-the-signal-four-of-cups-event-art-v2.png","Open art")</x:f>
        <x:v>Open art</x:v>
      </x:c>
      <x:c r="F55" s="7" t="str">
        <x:v>Saved</x:v>
      </x:c>
      <x:c r="G55" s="7" t="str">
        <x:v>Mapped</x:v>
      </x:c>
      <x:c r="H55" s="7" t="str">
        <x:v>Draft</x:v>
      </x:c>
      <x:c r="I55" s="8" t="str">
        <x:v>V2 shows collective village refusal through shutters closing, a radio being covered, charms turned inward, children guided away from windows, Pavel outside the social circle, and exactly four covered or overturned vessels in the foreground. The aurora is abstract rather than a literal cup.</x:v>
      </x:c>
    </x:row>
    <x:row r="56" ht="23" customHeight="1">
      <x:c r="A56" s="7" t="str">
        <x:v>Five of Cups</x:v>
      </x:c>
      <x:c r="B56" s="7" t="str">
        <x:v>Marya's Thaw Cup</x:v>
      </x:c>
      <x:c r="C56" s="7" t="str">
        <x:v>Winter Front</x:v>
      </x:c>
      <x:c r="D56" s="7" t="str">
        <x:v>Relic</x:v>
      </x:c>
      <x:c r="E56" s="9" t="str">
        <x:f>HYPERLINK("file:///C:/Users/Drew/Documents/MythCards/assets/relics/winter-front-maryas-thaw-cup-five-of-cups-relic-art.png","Open art")</x:f>
        <x:v>Open art</x:v>
      </x:c>
      <x:c r="F56" s="7" t="str">
        <x:v>Saved</x:v>
      </x:c>
      <x:c r="G56" s="7" t="str">
        <x:v>Mapped</x:v>
      </x:c>
      <x:c r="H56" s="7" t="str">
        <x:v>Draft</x:v>
      </x:c>
      <x:c r="I56" s="8" t="str">
        <x:v>Remapped from Temperance so Marya Zima keeps Temperance as a character. Approved relic art shows the glowing thaw cup in a frozen aid station with three fallen vessels and one standing background cup.</x:v>
      </x:c>
    </x:row>
    <x:row r="57" ht="23" customHeight="1">
      <x:c r="A57" s="7" t="str">
        <x:v>Six of Cups</x:v>
      </x:c>
      <x:c r="B57" s="7" t="str">
        <x:v>Deep North Circus Arrives</x:v>
      </x:c>
      <x:c r="C57" s="7" t="str">
        <x:v>Far North</x:v>
      </x:c>
      <x:c r="D57" s="7" t="str">
        <x:v>Event</x:v>
      </x:c>
      <x:c r="E57" s="9" t="str">
        <x:f>HYPERLINK("file:///C:/Users/Drew/Documents/MythCards/assets/events/far-north-deep-north-circus-arrives-six-of-cups-event-art-v2.png","Open art")</x:f>
        <x:v>Open art</x:v>
      </x:c>
      <x:c r="F57" s="7" t="str">
        <x:v>Saved</x:v>
      </x:c>
      <x:c r="G57" s="7" t="str">
        <x:v>Mapped</x:v>
      </x:c>
      <x:c r="H57" s="7" t="str">
        <x:v>Draft</x:v>
      </x:c>
      <x:c r="I57" s="8" t="str">
        <x:v>V2 corrects the visual count to exactly six cup-lanterns on one foreground crate and simplifies the circus-arrival tableau while keeping children drawn forward, elders uneasy, village houses, canvas tents, and aurora overhead.</x:v>
      </x:c>
    </x:row>
    <x:row r="58" ht="23" customHeight="1">
      <x:c r="A58" s="7" t="str">
        <x:v>Seven of Cups</x:v>
      </x:c>
      <x:c r="B58" s="7" t="str">
        <x:v>Bogatyr's Relic Case</x:v>
      </x:c>
      <x:c r="C58" s="7" t="str">
        <x:v>Winter Front</x:v>
      </x:c>
      <x:c r="D58" s="7" t="str">
        <x:v>Relic</x:v>
      </x:c>
      <x:c r="E58" s="9" t="str">
        <x:f>HYPERLINK("file:///C:/Users/Drew/Documents/MythCards/assets/relics/winter-front-bogatyrs-relic-case-seven-of-cups-relic-art.png","Open art")</x:f>
        <x:v>Open art</x:v>
      </x:c>
      <x:c r="F58" s="7" t="str">
        <x:v>Saved</x:v>
      </x:c>
      <x:c r="G58" s="7" t="str">
        <x:v>Mapped</x:v>
      </x:c>
      <x:c r="H58" s="7" t="str">
        <x:v>Draft</x:v>
      </x:c>
      <x:c r="I58" s="8" t="str"/>
    </x:row>
    <x:row r="59" ht="23" customHeight="1">
      <x:c r="A59" s="7" t="str">
        <x:v>Eight of Cups</x:v>
      </x:c>
      <x:c r="B59" s="7" t="str">
        <x:v>The Rings Leave The Cabin</x:v>
      </x:c>
      <x:c r="C59" s="7" t="str">
        <x:v>Winter Front</x:v>
      </x:c>
      <x:c r="D59" s="7" t="str">
        <x:v>Event</x:v>
      </x:c>
      <x:c r="E59" s="9" t="str">
        <x:f>HYPERLINK("file:///C:/Users/Drew/Documents/MythCards/assets/events/winter-front-the-rings-leave-the-cabin-eight-of-cups-event-art-v2.png","Open art")</x:f>
        <x:v>Open art</x:v>
      </x:c>
      <x:c r="F59" s="7" t="str">
        <x:v>Saved</x:v>
      </x:c>
      <x:c r="G59" s="7" t="str">
        <x:v>Mapped</x:v>
      </x:c>
      <x:c r="H59" s="7" t="str">
        <x:v>Draft</x:v>
      </x:c>
      <x:c r="I59" s="8" t="str"/>
    </x:row>
    <x:row r="60" ht="23" customHeight="1">
      <x:c r="A60" s="7" t="str">
        <x:v>Nine of Cups</x:v>
      </x:c>
      <x:c r="B60" s="7" t="str">
        <x:v>Karpova's Velvet Decanter</x:v>
      </x:c>
      <x:c r="C60" s="7" t="str">
        <x:v>Closed City</x:v>
      </x:c>
      <x:c r="D60" s="7" t="str">
        <x:v>Relic</x:v>
      </x:c>
      <x:c r="E60" s="9" t="str">
        <x:f>HYPERLINK("file:///C:/Users/Drew/Documents/MythCards/assets/relics/closed-city-karpovas-velvet-decanter-nine-of-cups-relic-art.png","Open art")</x:f>
        <x:v>Open art</x:v>
      </x:c>
      <x:c r="F60" s="7" t="str">
        <x:v>Saved</x:v>
      </x:c>
      <x:c r="G60" s="7" t="str">
        <x:v>Mapped</x:v>
      </x:c>
      <x:c r="H60" s="7" t="str">
        <x:v>Approved</x:v>
      </x:c>
      <x:c r="I60" s="8" t="str">
        <x:v>Approved relic art centers a crystal decanter in Karpova's private suite with exactly nine glasses/cup cues, burgundy velvet, occult-science papers, the Black Key, and cold reactor lights beyond the glass.</x:v>
      </x:c>
    </x:row>
    <x:row r="61" ht="23" customHeight="1">
      <x:c r="A61" s="7" t="str">
        <x:v>Ten of Cups</x:v>
      </x:c>
      <x:c r="B61" s="7" t="str">
        <x:v>The Hearth-Locket Pair</x:v>
      </x:c>
      <x:c r="C61" s="7" t="str">
        <x:v>Winter Front</x:v>
      </x:c>
      <x:c r="D61" s="7" t="str">
        <x:v>Relic</x:v>
      </x:c>
      <x:c r="E61" s="9" t="str">
        <x:f>HYPERLINK("file:///C:/Users/Drew/Documents/MythCards/assets/relics/winter-front-hearth-locket-pair-ten-of-cups-relic-art.png","Open art")</x:f>
        <x:v>Open art</x:v>
      </x:c>
      <x:c r="F61" s="7" t="str">
        <x:v>Saved</x:v>
      </x:c>
      <x:c r="G61" s="7" t="str">
        <x:v>Mapped</x:v>
      </x:c>
      <x:c r="H61" s="7" t="str">
        <x:v>Draft</x:v>
      </x:c>
      <x:c r="I61" s="8" t="str">
        <x:v>Approved relic art shows realistic paired lockets, Stepan's gloved hand holding Marya's portrait, Marya's nurse hand holding Stepan's portrait, and exactly ten cup motifs over a warm home vision.</x:v>
      </x:c>
    </x:row>
    <x:row r="62" ht="23" customHeight="1">
      <x:c r="A62" s="7" t="str">
        <x:v>Page of Cups</x:v>
      </x:c>
      <x:c r="B62" s="7" t="str">
        <x:v>Meteor Contact To The North</x:v>
      </x:c>
      <x:c r="C62" s="7" t="str">
        <x:v>Winter Front</x:v>
      </x:c>
      <x:c r="D62" s="7" t="str">
        <x:v>Event</x:v>
      </x:c>
      <x:c r="E62" s="9" t="str">
        <x:f>HYPERLINK("file:///C:/Users/Drew/Documents/MythCards/assets/events/winter-front-meteor-contact-to-the-north-page-of-cups-event-art.png","Open art")</x:f>
        <x:v>Open art</x:v>
      </x:c>
      <x:c r="F62" s="7" t="str">
        <x:v>Saved</x:v>
      </x:c>
      <x:c r="G62" s="7" t="str">
        <x:v>Mapped</x:v>
      </x:c>
      <x:c r="H62" s="7" t="str">
        <x:v>Draft</x:v>
      </x:c>
      <x:c r="I62" s="8" t="str"/>
    </x:row>
    <x:row r="63" ht="23" customHeight="1">
      <x:c r="A63" s="7" t="str">
        <x:v>Knight of Cups</x:v>
      </x:c>
      <x:c r="B63" s="7" t="str">
        <x:v>Belorog / Aurora Reindeer</x:v>
      </x:c>
      <x:c r="C63" s="7" t="str">
        <x:v>Far North</x:v>
      </x:c>
      <x:c r="D63" s="7" t="str">
        <x:v>Character</x:v>
      </x:c>
      <x:c r="E63" s="9" t="str">
        <x:f>HYPERLINK("file:///C:/Users/Drew/Documents/MythCards/assets/characters/belorog-aurora-reindeer-knight-of-cups-character-card-art.png","Open art")</x:f>
        <x:v>Open art</x:v>
      </x:c>
      <x:c r="F63" s="7" t="str">
        <x:v>Saved</x:v>
      </x:c>
      <x:c r="G63" s="7" t="str">
        <x:v>Mapped</x:v>
      </x:c>
      <x:c r="H63" s="7" t="str">
        <x:v>Draft</x:v>
      </x:c>
      <x:c r="I63" s="8" t="str">
        <x:v>Knight of Cups was checked open in the Russian tarot tracker before assignment. Art should show a pale aurora-lit reindeer with luminous antlers, practical northern harness, red thread and charms, frozen river reflections, and a humble cup or bowl motif tied to spiritual passage.</x:v>
      </x:c>
    </x:row>
    <x:row r="64" ht="23" customHeight="1">
      <x:c r="A64" s="7" t="str">
        <x:v>Queen of Cups</x:v>
      </x:c>
      <x:c r="B64" s="7" t="str">
        <x:v>Aksinya Morozova / Frost Seer</x:v>
      </x:c>
      <x:c r="C64" s="7" t="str">
        <x:v>Far North</x:v>
      </x:c>
      <x:c r="D64" s="7" t="str">
        <x:v>Character</x:v>
      </x:c>
      <x:c r="E64" s="9" t="str">
        <x:f>HYPERLINK("file:///C:/Users/Drew/Documents/MythCards/assets/characters/aksinya-morozova-frost-seer-queen-of-cups-character-card-art-v4.png","Open art")</x:f>
        <x:v>Open art</x:v>
      </x:c>
      <x:c r="F64" s="7" t="str">
        <x:v>Saved</x:v>
      </x:c>
      <x:c r="G64" s="7" t="str">
        <x:v>Mapped</x:v>
      </x:c>
      <x:c r="H64" s="7" t="str">
        <x:v>Draft</x:v>
      </x:c>
      <x:c r="I64" s="8" t="str">
        <x:v>V4 keeps the clear scrying reflection and hidden frost influence from v3 while improving continuity with Nadia Belaya's approved artwork: hooded off-white robe, red embroidery, brown braid, pendant, and warm Star-like healing light as she saves Pavel.</x:v>
      </x:c>
    </x:row>
    <x:row r="65" ht="23" customHeight="1">
      <x:c r="A65" s="7" t="str">
        <x:v>King of Cups</x:v>
      </x:c>
      <x:c r="B65" s="7" t="str">
        <x:v>The Twin Waters Flask</x:v>
      </x:c>
      <x:c r="C65" s="7" t="str">
        <x:v>Winter Front</x:v>
      </x:c>
      <x:c r="D65" s="7" t="str">
        <x:v>Relic</x:v>
      </x:c>
      <x:c r="E65" s="9" t="str">
        <x:f>HYPERLINK("file:///C:/Users/Drew/Documents/MythCards/assets/relics/winter-front-twin-waters-flask-king-of-cups-relic-art.png","Open art")</x:f>
        <x:v>Open art</x:v>
      </x:c>
      <x:c r="F65" s="7" t="str">
        <x:v>Saved</x:v>
      </x:c>
      <x:c r="G65" s="7" t="str">
        <x:v>Mapped</x:v>
      </x:c>
      <x:c r="H65" s="7" t="str">
        <x:v>Draft</x:v>
      </x:c>
      <x:c r="I65" s="8" t="str">
        <x:v>Approved relic art shows a believable twin-chamber field flask with cold silver-blue dead water, warm golden living water, medical cloth, icon imagery, and restrained crown/cup authority.</x:v>
      </x:c>
    </x:row>
    <x:row r="66" ht="23" customHeight="1">
      <x:c r="A66" s="7" t="str">
        <x:v>Ace of Swords</x:v>
      </x:c>
      <x:c r="B66" s="7" t="str">
        <x:v>Meteor-Glass Spear</x:v>
      </x:c>
      <x:c r="C66" s="7" t="str">
        <x:v>Far North</x:v>
      </x:c>
      <x:c r="D66" s="7" t="str">
        <x:v>Relic</x:v>
      </x:c>
      <x:c r="E66" s="9" t="str">
        <x:f>HYPERLINK("file:///C:/Users/Drew/Documents/MythCards/assets/relics/far-north-meteor-glass-spear-ace-of-swords-relic-art.png","Open art")</x:f>
        <x:v>Open art</x:v>
      </x:c>
      <x:c r="F66" s="7" t="str">
        <x:v>Saved</x:v>
      </x:c>
      <x:c r="G66" s="7" t="str">
        <x:v>Mapped</x:v>
      </x:c>
      <x:c r="H66" s="7" t="str">
        <x:v>Draft</x:v>
      </x:c>
      <x:c r="I66" s="8" t="str">
        <x:v>Relic art focuses on a practical spear with a jagged black meteor-glass blade, red wraps, iron wire, protective knots, and aurora reflection at the village boundary.</x:v>
      </x:c>
    </x:row>
    <x:row r="67" ht="23" customHeight="1">
      <x:c r="A67" s="7" t="str">
        <x:v>Two of Swords</x:v>
      </x:c>
      <x:c r="B67" s="7" t="str">
        <x:v>The Blind-Marked Kopeck</x:v>
      </x:c>
      <x:c r="C67" s="7" t="str">
        <x:v>Winter Front</x:v>
      </x:c>
      <x:c r="D67" s="7" t="str">
        <x:v>Relic</x:v>
      </x:c>
      <x:c r="E67" s="9" t="str">
        <x:f>HYPERLINK("file:///C:/Users/Drew/Documents/MythCards/assets/relics/winter-front-blind-marked-kopeck-two-of-swords-relic-art.png","Open art")</x:f>
        <x:v>Open art</x:v>
      </x:c>
      <x:c r="F67" s="7" t="str">
        <x:v>Saved</x:v>
      </x:c>
      <x:c r="G67" s="7" t="str">
        <x:v>Mapped</x:v>
      </x:c>
      <x:c r="H67" s="7" t="str">
        <x:v>Approved</x:v>
      </x:c>
      <x:c r="I67" s="8" t="str">
        <x:v>Approved art shows Irina, the suspended blind-marked coin, and exactly two crossed blades.</x:v>
      </x:c>
    </x:row>
    <x:row r="68" ht="23" customHeight="1">
      <x:c r="A68" s="7" t="str">
        <x:v>Three of Swords</x:v>
      </x:c>
      <x:c r="B68" s="7" t="str">
        <x:v>Saint's Field Icon</x:v>
      </x:c>
      <x:c r="C68" s="7" t="str">
        <x:v>Winter Front</x:v>
      </x:c>
      <x:c r="D68" s="7" t="str">
        <x:v>Relic</x:v>
      </x:c>
      <x:c r="E68" s="9" t="str">
        <x:f>HYPERLINK("file:///C:/Users/Drew/Documents/MythCards/assets/relics/winter-front-saints-field-icon-three-of-swords-relic-art.png","Open art")</x:f>
        <x:v>Open art</x:v>
      </x:c>
      <x:c r="F68" s="7" t="str">
        <x:v>Saved</x:v>
      </x:c>
      <x:c r="G68" s="7" t="str">
        <x:v>Mapped</x:v>
      </x:c>
      <x:c r="H68" s="7" t="str">
        <x:v>Draft</x:v>
      </x:c>
      <x:c r="I68" s="8" t="str">
        <x:v>Remapped from The Hierophant so Anastasia Lebedeva can keep formal faith authority. Approved relic art shows a cracked field icon crossed by three bayonet/sword wounds with rare white birds outside.</x:v>
      </x:c>
    </x:row>
    <x:row r="69" ht="23" customHeight="1">
      <x:c r="A69" s="7" t="str">
        <x:v>Four of Swords</x:v>
      </x:c>
      <x:c r="B69" s="7" t="str">
        <x:v>Winter Stalls The War</x:v>
      </x:c>
      <x:c r="C69" s="7" t="str">
        <x:v>Winter Front</x:v>
      </x:c>
      <x:c r="D69" s="7" t="str">
        <x:v>Event</x:v>
      </x:c>
      <x:c r="E69" s="9" t="str">
        <x:f>HYPERLINK("file:///C:/Users/Drew/Documents/MythCards/assets/events/winter-front-winter-stalls-the-war-four-of-swords-event-art-v2.png","Open art")</x:f>
        <x:v>Open art</x:v>
      </x:c>
      <x:c r="F69" s="7" t="str">
        <x:v>Saved</x:v>
      </x:c>
      <x:c r="G69" s="7" t="str">
        <x:v>Mapped</x:v>
      </x:c>
      <x:c r="H69" s="7" t="str">
        <x:v>Draft</x:v>
      </x:c>
      <x:c r="I69" s="8" t="str"/>
    </x:row>
    <x:row r="70" ht="23" customHeight="1">
      <x:c r="A70" s="7" t="str">
        <x:v>Five of Swords</x:v>
      </x:c>
      <x:c r="B70" s="7" t="str">
        <x:v>The Knives Mark A False Road</x:v>
      </x:c>
      <x:c r="C70" s="7" t="str">
        <x:v>Far North</x:v>
      </x:c>
      <x:c r="D70" s="7" t="str">
        <x:v>Event</x:v>
      </x:c>
      <x:c r="E70" s="9" t="str">
        <x:f>HYPERLINK("file:///C:/Users/Drew/Documents/MythCards/assets/events/far-north-the-knives-mark-a-false-road-five-of-swords-event-art.png","Open art")</x:f>
        <x:v>Open art</x:v>
      </x:c>
      <x:c r="F70" s="7" t="str">
        <x:v>Saved</x:v>
      </x:c>
      <x:c r="G70" s="7" t="str">
        <x:v>Mapped</x:v>
      </x:c>
      <x:c r="H70" s="7" t="str">
        <x:v>Draft</x:v>
      </x:c>
      <x:c r="I70" s="8" t="str">
        <x:v>Event art centers Dmitri in the Deep North Circus tent with five dominant embedded blades on the target board, Pavel and Mila secondary in the snowy background, and the warning framed as both performance and deception.</x:v>
      </x:c>
    </x:row>
    <x:row r="71" ht="23" customHeight="1">
      <x:c r="A71" s="7" t="str">
        <x:v>Six of Swords</x:v>
      </x:c>
      <x:c r="B71" s="7" t="str">
        <x:v>Frozen T-34</x:v>
      </x:c>
      <x:c r="C71" s="7" t="str">
        <x:v>Winter Front</x:v>
      </x:c>
      <x:c r="D71" s="7" t="str">
        <x:v>Character</x:v>
      </x:c>
      <x:c r="E71" s="9" t="str">
        <x:f>HYPERLINK("file:///C:/Users/Drew/Documents/MythCards/assets/characters/frozen-t34-six-of-swords-mount-card-art.png","Open art")</x:f>
        <x:v>Open art</x:v>
      </x:c>
      <x:c r="F71" s="7" t="str">
        <x:v>Saved</x:v>
      </x:c>
      <x:c r="G71" s="7" t="str">
        <x:v>Mapped</x:v>
      </x:c>
      <x:c r="H71" s="7" t="str">
        <x:v>Draft</x:v>
      </x:c>
      <x:c r="I71" s="8" t="str">
        <x:v>Mount art uses the Frozen T-34 as a haunted ferry across the killing field, with wounded soldiers on the armor, exactly six sword-like bayonet markers lining the passage, and reactor-red convergence glow under the ice. It intentionally avoids Chariot charge language because Far North already uses that archetype.</x:v>
      </x:c>
    </x:row>
    <x:row r="72" ht="23" customHeight="1">
      <x:c r="A72" s="7" t="str">
        <x:v>Seven of Swords</x:v>
      </x:c>
      <x:c r="B72" s="7" t="str">
        <x:v>Dmitri Voronov / Knife Thrower</x:v>
      </x:c>
      <x:c r="C72" s="7" t="str">
        <x:v>Far North</x:v>
      </x:c>
      <x:c r="D72" s="7" t="str">
        <x:v>Character</x:v>
      </x:c>
      <x:c r="E72" s="9" t="str">
        <x:f>HYPERLINK("file:///C:/Users/Drew/Documents/MythCards/assets/characters/dmitri-voronov-knife-thrower-seven-of-swords-character-card-art-v3.png","Open art")</x:f>
        <x:v>Open art</x:v>
      </x:c>
      <x:c r="F72" s="7" t="str">
        <x:v>Saved</x:v>
      </x:c>
      <x:c r="G72" s="7" t="str">
        <x:v>Mapped</x:v>
      </x:c>
      <x:c r="H72" s="7" t="str">
        <x:v>Draft</x:v>
      </x:c>
      <x:c r="I72" s="8" t="str">
        <x:v>V3 keeps Dmitri's longer dark hair and deep teal/emerald costume accents while improving the target-board knives with darker entry points, contact shadows, and visible wood damage so the blades read as embedded.</x:v>
      </x:c>
    </x:row>
    <x:row r="73" ht="23" customHeight="1">
      <x:c r="A73" s="7" t="str">
        <x:v>Eight of Swords</x:v>
      </x:c>
      <x:c r="B73" s="7" t="str">
        <x:v>Subject 3 Wakes</x:v>
      </x:c>
      <x:c r="C73" s="7" t="str">
        <x:v>Closed City</x:v>
      </x:c>
      <x:c r="D73" s="7" t="str">
        <x:v>Event</x:v>
      </x:c>
      <x:c r="E73" s="9" t="str">
        <x:f>HYPERLINK("file:///C:/Users/Drew/Documents/MythCards/assets/events/closed-city-subject-3-wakes-eight-of-swords-event-art.png","Open art")</x:f>
        <x:v>Open art</x:v>
      </x:c>
      <x:c r="F73" s="7" t="str">
        <x:v>Saved</x:v>
      </x:c>
      <x:c r="G73" s="7" t="str">
        <x:v>Mapped</x:v>
      </x:c>
      <x:c r="H73" s="7" t="str">
        <x:v>Draft</x:v>
      </x:c>
      <x:c r="I73" s="8" t="str"/>
    </x:row>
    <x:row r="74" ht="23" customHeight="1">
      <x:c r="A74" s="7" t="str">
        <x:v>Nine of Swords</x:v>
      </x:c>
      <x:c r="B74" s="7" t="str">
        <x:v>Cosmonaut Helmet With A Second Shadow</x:v>
      </x:c>
      <x:c r="C74" s="7" t="str">
        <x:v>Closed City</x:v>
      </x:c>
      <x:c r="D74" s="7" t="str">
        <x:v>Relic</x:v>
      </x:c>
      <x:c r="E74" s="9" t="str">
        <x:f>HYPERLINK("file:///C:/Users/Drew/Documents/MythCards/assets/relics/closed-city-cosmonaut-helmet-second-shadow-nine-of-swords-relic-art.png","Open art")</x:f>
        <x:v>Open art</x:v>
      </x:c>
      <x:c r="F74" s="7" t="str">
        <x:v>Saved</x:v>
      </x:c>
      <x:c r="G74" s="7" t="str">
        <x:v>Conflict</x:v>
      </x:c>
      <x:c r="H74" s="7" t="str">
        <x:v>Approved</x:v>
      </x:c>
      <x:c r="I74" s="8" t="str"/>
    </x:row>
    <x:row r="75" ht="23" customHeight="1">
      <x:c r="A75" s="7" t="str">
        <x:v>Nine of Swords</x:v>
      </x:c>
      <x:c r="B75" s="7" t="str">
        <x:v>Closed City Vision</x:v>
      </x:c>
      <x:c r="C75" s="7" t="str">
        <x:v>Winter Front</x:v>
      </x:c>
      <x:c r="D75" s="7" t="str">
        <x:v>Event</x:v>
      </x:c>
      <x:c r="E75" s="9" t="str">
        <x:f>HYPERLINK("file:///C:/Users/Drew/Documents/MythCards/assets/events/winter-front-closed-city-vision-nine-of-swords-event-art.png","Open art")</x:f>
        <x:v>Open art</x:v>
      </x:c>
      <x:c r="F75" s="7" t="str">
        <x:v>Saved</x:v>
      </x:c>
      <x:c r="G75" s="7" t="str">
        <x:v>Conflict</x:v>
      </x:c>
      <x:c r="H75" s="7" t="str">
        <x:v>Draft</x:v>
      </x:c>
      <x:c r="I75" s="8" t="str"/>
    </x:row>
    <x:row r="76" ht="23" customHeight="1">
      <x:c r="A76" s="7" t="str">
        <x:v>Ten of Swords</x:v>
      </x:c>
      <x:c r="B76" s="7" t="str"/>
      <x:c r="C76" s="7" t="str"/>
      <x:c r="D76" s="7" t="str"/>
      <x:c r="E76" s="9" t="str"/>
      <x:c r="F76" s="7" t="str"/>
      <x:c r="G76" s="7" t="str">
        <x:v>Open</x:v>
      </x:c>
      <x:c r="H76" s="7" t="str"/>
      <x:c r="I76" s="8" t="str"/>
    </x:row>
    <x:row r="77" ht="23" customHeight="1">
      <x:c r="A77" s="7" t="str">
        <x:v>Page of Swords</x:v>
      </x:c>
      <x:c r="B77" s="7" t="str">
        <x:v>Redacted Incident Tape</x:v>
      </x:c>
      <x:c r="C77" s="7" t="str">
        <x:v>Closed City</x:v>
      </x:c>
      <x:c r="D77" s="7" t="str">
        <x:v>Relic</x:v>
      </x:c>
      <x:c r="E77" s="9" t="str">
        <x:f>HYPERLINK("file:///C:/Users/Drew/Documents/MythCards/assets/relics/closed-city-redacted-incident-tape-page-of-swords-relic-art.png","Open art")</x:f>
        <x:v>Open art</x:v>
      </x:c>
      <x:c r="F77" s="7" t="str">
        <x:v>Saved</x:v>
      </x:c>
      <x:c r="G77" s="7" t="str">
        <x:v>Conflict</x:v>
      </x:c>
      <x:c r="H77" s="7" t="str">
        <x:v>Approved</x:v>
      </x:c>
      <x:c r="I77" s="8" t="str"/>
    </x:row>
    <x:row r="78" ht="23" customHeight="1">
      <x:c r="A78" s="7" t="str">
        <x:v>Page of Swords</x:v>
      </x:c>
      <x:c r="B78" s="7" t="str">
        <x:v>Frozen Field Radio</x:v>
      </x:c>
      <x:c r="C78" s="7" t="str">
        <x:v>Winter Front</x:v>
      </x:c>
      <x:c r="D78" s="7" t="str">
        <x:v>Relic</x:v>
      </x:c>
      <x:c r="E78" s="9" t="str"/>
      <x:c r="F78" s="7" t="str">
        <x:v>Missing</x:v>
      </x:c>
      <x:c r="G78" s="7" t="str">
        <x:v>Conflict</x:v>
      </x:c>
      <x:c r="H78" s="7" t="str">
        <x:v>Draft</x:v>
      </x:c>
      <x:c r="I78" s="8" t="str"/>
    </x:row>
    <x:row r="79" ht="23" customHeight="1">
      <x:c r="A79" s="7" t="str">
        <x:v>Knight of Swords</x:v>
      </x:c>
      <x:c r="B79" s="7" t="str">
        <x:v>Darya Koval / Bayonet Saint</x:v>
      </x:c>
      <x:c r="C79" s="7" t="str">
        <x:v>Winter Front</x:v>
      </x:c>
      <x:c r="D79" s="7" t="str">
        <x:v>Character</x:v>
      </x:c>
      <x:c r="E79" s="9" t="str">
        <x:f>HYPERLINK("file:///C:/Users/Drew/Documents/MythCards/assets/characters/darya-koval-bayonet-saint-knight-of-swords-character-card-art.png","Open art")</x:f>
        <x:v>Open art</x:v>
      </x:c>
      <x:c r="F79" s="7" t="str">
        <x:v>Saved</x:v>
      </x:c>
      <x:c r="G79" s="7" t="str">
        <x:v>Mapped</x:v>
      </x:c>
      <x:c r="H79" s="7" t="str">
        <x:v>Draft</x:v>
      </x:c>
      <x:c r="I79" s="8" t="str">
        <x:v>Knight of Swords was checked open in the Russian tarot tracker before assignment. Art should show a fierce female Winter Front close-combat warrior with rifle and fixed bayonet, prayer cloth, diagonal snow/smoke motion, and occult trench lines breaking underfoot.</x:v>
      </x:c>
    </x:row>
    <x:row r="80" ht="23" customHeight="1">
      <x:c r="A80" s="7" t="str">
        <x:v>Queen of Swords</x:v>
      </x:c>
      <x:c r="B80" s="7" t="str">
        <x:v>Irina Sokolova</x:v>
      </x:c>
      <x:c r="C80" s="7" t="str">
        <x:v>Winter Front</x:v>
      </x:c>
      <x:c r="D80" s="7" t="str">
        <x:v>Character</x:v>
      </x:c>
      <x:c r="E80" s="9" t="str">
        <x:f>HYPERLINK("file:///C:/Users/Drew/Documents/MythCards/assets/characters/irina-sokolova-sniper-queen-of-swords-character-card-art.png","Open art")</x:f>
        <x:v>Open art</x:v>
      </x:c>
      <x:c r="F80" s="7" t="str">
        <x:v>Saved</x:v>
      </x:c>
      <x:c r="G80" s="7" t="str">
        <x:v>Mapped</x:v>
      </x:c>
      <x:c r="H80" s="7" t="str">
        <x:v>Draft</x:v>
      </x:c>
      <x:c r="I80" s="8" t="str"/>
    </x:row>
    <x:row r="81" ht="23" customHeight="1">
      <x:c r="A81" s="7" t="str">
        <x:v>King of Swords</x:v>
      </x:c>
      <x:c r="B81" s="7" t="str">
        <x:v>General Arkady Volkov / Army General</x:v>
      </x:c>
      <x:c r="C81" s="7" t="str">
        <x:v>Winter Front</x:v>
      </x:c>
      <x:c r="D81" s="7" t="str">
        <x:v>Character</x:v>
      </x:c>
      <x:c r="E81" s="9" t="str">
        <x:f>HYPERLINK("file:///C:/Users/Drew/Documents/MythCards/assets/characters/arkady-volkov-army-general-king-of-swords-character-card-art.png","Open art")</x:f>
        <x:v>Open art</x:v>
      </x:c>
      <x:c r="F81" s="7" t="str">
        <x:v>Saved</x:v>
      </x:c>
      <x:c r="G81" s="7" t="str">
        <x:v>Mapped</x:v>
      </x:c>
      <x:c r="H81" s="7" t="str">
        <x:v>Draft</x:v>
      </x:c>
      <x:c r="I81" s="8" t="str">
        <x:v>Remapped from The Emperor so Colonel Viktor Semyonov can own the Emperor archetype. King of Swords centers Volkov's strategic cruelty, silver pointer-as-sword, red command sash, casualty lists, and soldiers sent into lethal snow.</x:v>
      </x:c>
    </x:row>
    <x:row r="82" ht="23" customHeight="1">
      <x:c r="A82" s="7" t="str">
        <x:v>Ace of Pentacles</x:v>
      </x:c>
      <x:c r="B82" s="7" t="str">
        <x:v>Chintamani Fragment</x:v>
      </x:c>
      <x:c r="C82" s="7" t="str">
        <x:v>Closed City</x:v>
      </x:c>
      <x:c r="D82" s="7" t="str">
        <x:v>Relic</x:v>
      </x:c>
      <x:c r="E82" s="9" t="str">
        <x:f>HYPERLINK("file:///C:/Users/Drew/Documents/MythCards/assets/relics/closed-city-chintamani-fragment-ace-of-pentacles-relic-art-corrected.png","Open art")</x:f>
        <x:v>Open art</x:v>
      </x:c>
      <x:c r="F82" s="7" t="str">
        <x:v>Saved</x:v>
      </x:c>
      <x:c r="G82" s="7" t="str">
        <x:v>Mapped</x:v>
      </x:c>
      <x:c r="H82" s="7" t="str">
        <x:v>Approved</x:v>
      </x:c>
      <x:c r="I82" s="8" t="str">
        <x:v>Corrected variant keeps the Chintamani fragment sealed inside the evidence container, with the tag and cord attached outside the latch/seal rather than passing through the glass.</x:v>
      </x:c>
    </x:row>
    <x:row r="83" ht="23" customHeight="1">
      <x:c r="A83" s="7" t="str">
        <x:v>Two of Pentacles</x:v>
      </x:c>
      <x:c r="B83" s="7" t="str">
        <x:v>Circus Convergence Rings</x:v>
      </x:c>
      <x:c r="C83" s="7" t="str">
        <x:v>Far North</x:v>
      </x:c>
      <x:c r="D83" s="7" t="str">
        <x:v>Relic</x:v>
      </x:c>
      <x:c r="E83" s="9" t="str">
        <x:f>HYPERLINK("file:///C:/Users/Drew/Documents/MythCards/assets/relics/far-north-circus-convergence-rings-two-of-pentacles-relic-art.png","Open art")</x:f>
        <x:v>Open art</x:v>
      </x:c>
      <x:c r="F83" s="7" t="str">
        <x:v>Saved</x:v>
      </x:c>
      <x:c r="G83" s="7" t="str">
        <x:v>Mapped</x:v>
      </x:c>
      <x:c r="H83" s="7" t="str">
        <x:v>Draft</x:v>
      </x:c>
      <x:c r="I83" s="8" t="str">
        <x:v>Relic art shows exactly two dominant old iron circus rings with worn rope, red thread, leather wraps, subtle Atlantean etching, and Old Rite floor geometry inside the Deep North Circus tent.</x:v>
      </x:c>
    </x:row>
    <x:row r="84" ht="23" customHeight="1">
      <x:c r="A84" s="7" t="str">
        <x:v>Three of Pentacles</x:v>
      </x:c>
      <x:c r="B84" s="7" t="str">
        <x:v>Dream Monitors Synchronize</x:v>
      </x:c>
      <x:c r="C84" s="7" t="str">
        <x:v>Closed City</x:v>
      </x:c>
      <x:c r="D84" s="7" t="str">
        <x:v>Event</x:v>
      </x:c>
      <x:c r="E84" s="9" t="str">
        <x:f>HYPERLINK("file:///C:/Users/Drew/Documents/MythCards/assets/events/closed-city-dream-monitors-synchronize-three-of-pentacles-event-art.png","Open art")</x:f>
        <x:v>Open art</x:v>
      </x:c>
      <x:c r="F84" s="7" t="str">
        <x:v>Saved</x:v>
      </x:c>
      <x:c r="G84" s="7" t="str">
        <x:v>Conflict</x:v>
      </x:c>
      <x:c r="H84" s="7" t="str">
        <x:v>Approved</x:v>
      </x:c>
      <x:c r="I84" s="8" t="str"/>
    </x:row>
    <x:row r="85" ht="23" customHeight="1">
      <x:c r="A85" s="7" t="str">
        <x:v>Three of Pentacles</x:v>
      </x:c>
      <x:c r="B85" s="7" t="str">
        <x:v>The Circus Performs The Old Rite</x:v>
      </x:c>
      <x:c r="C85" s="7" t="str">
        <x:v>Far North</x:v>
      </x:c>
      <x:c r="D85" s="7" t="str">
        <x:v>Event</x:v>
      </x:c>
      <x:c r="E85" s="9" t="str">
        <x:f>HYPERLINK("file:///C:/Users/Drew/Documents/MythCards/assets/events/far-north-the-circus-performs-the-old-rite-three-of-pentacles-event-art-v2.png","Open art")</x:f>
        <x:v>Open art</x:v>
      </x:c>
      <x:c r="F85" s="7" t="str">
        <x:v>Saved</x:v>
      </x:c>
      <x:c r="G85" s="7" t="str">
        <x:v>Conflict</x:v>
      </x:c>
      <x:c r="H85" s="7" t="str">
        <x:v>Draft</x:v>
      </x:c>
      <x:c r="I85" s="8" t="str">
        <x:v>V2 shows Mila, Dmitri, and Oleg forming three centers of craft inside the tent, with a witnessing crowd and rope/lantern/floor geometry suggesting three interlocked rings around a vertical convergence mark. Dmitri and Oleg read as collaborators in the rite rather than opponents.</x:v>
      </x:c>
    </x:row>
    <x:row r="86" ht="23" customHeight="1">
      <x:c r="A86" s="7" t="str">
        <x:v>Four of Pentacles</x:v>
      </x:c>
      <x:c r="B86" s="7" t="str">
        <x:v>Lead-Sealed Notebook</x:v>
      </x:c>
      <x:c r="C86" s="7" t="str">
        <x:v>Closed City</x:v>
      </x:c>
      <x:c r="D86" s="7" t="str">
        <x:v>Relic</x:v>
      </x:c>
      <x:c r="E86" s="9" t="str">
        <x:f>HYPERLINK("file:///C:/Users/Drew/Documents/MythCards/assets/relics/closed-city-lead-sealed-notebook-four-of-pentacles-relic-art.png","Open art")</x:f>
        <x:v>Open art</x:v>
      </x:c>
      <x:c r="F86" s="7" t="str">
        <x:v>Saved</x:v>
      </x:c>
      <x:c r="G86" s="7" t="str">
        <x:v>Mapped</x:v>
      </x:c>
      <x:c r="H86" s="7" t="str">
        <x:v>Approved</x:v>
      </x:c>
      <x:c r="I86" s="8" t="str"/>
    </x:row>
    <x:row r="87" ht="23" customHeight="1">
      <x:c r="A87" s="7" t="str">
        <x:v>Five of Pentacles</x:v>
      </x:c>
      <x:c r="B87" s="7" t="str">
        <x:v>Semyonov Orders Silence</x:v>
      </x:c>
      <x:c r="C87" s="7" t="str">
        <x:v>Closed City</x:v>
      </x:c>
      <x:c r="D87" s="7" t="str">
        <x:v>Event</x:v>
      </x:c>
      <x:c r="E87" s="9" t="str">
        <x:f>HYPERLINK("file:///C:/Users/Drew/Documents/MythCards/assets/events/closed-city-semyonov-orders-silence-five-of-pentacles-event-art.png","Open art")</x:f>
        <x:v>Open art</x:v>
      </x:c>
      <x:c r="F87" s="7" t="str">
        <x:v>Saved</x:v>
      </x:c>
      <x:c r="G87" s="7" t="str">
        <x:v>Conflict</x:v>
      </x:c>
      <x:c r="H87" s="7" t="str">
        <x:v>Approved</x:v>
      </x:c>
      <x:c r="I87" s="8" t="str"/>
    </x:row>
    <x:row r="88" ht="23" customHeight="1">
      <x:c r="A88" s="7" t="str">
        <x:v>Five of Pentacles</x:v>
      </x:c>
      <x:c r="B88" s="7" t="str">
        <x:v>Nadia Finds The Survivor</x:v>
      </x:c>
      <x:c r="C88" s="7" t="str">
        <x:v>Far North</x:v>
      </x:c>
      <x:c r="D88" s="7" t="str">
        <x:v>Event</x:v>
      </x:c>
      <x:c r="E88" s="9" t="str">
        <x:f>HYPERLINK("file:///C:/Users/Drew/Documents/MythCards/assets/events/far-north-nadia-finds-the-survivor-five-of-pentacles-event-art.png","Open art")</x:f>
        <x:v>Open art</x:v>
      </x:c>
      <x:c r="F88" s="7" t="str">
        <x:v>Saved</x:v>
      </x:c>
      <x:c r="G88" s="7" t="str">
        <x:v>Conflict</x:v>
      </x:c>
      <x:c r="H88" s="7" t="str">
        <x:v>Draft</x:v>
      </x:c>
      <x:c r="I88" s="8" t="str">
        <x:v>Event art keeps Nadia and Pavel continuity while distinguishing itself from Nadia's character card through wider composition, Pavel's exposure, the visible Sky-Hide Mirror, distant shelter lights, and the huge aurora wound overhead.</x:v>
      </x:c>
    </x:row>
    <x:row r="89" ht="23" customHeight="1">
      <x:c r="A89" s="7" t="str">
        <x:v>Six of Pentacles</x:v>
      </x:c>
      <x:c r="B89" s="7" t="str">
        <x:v>Civilian Evacuee / Anya Petrovna</x:v>
      </x:c>
      <x:c r="C89" s="7" t="str">
        <x:v>Winter Front</x:v>
      </x:c>
      <x:c r="D89" s="7" t="str">
        <x:v>Character</x:v>
      </x:c>
      <x:c r="E89" s="9" t="str">
        <x:f>HYPERLINK("file:///C:/Users/Drew/Documents/MythCards/assets/characters/anya-petrovna-civilian-evacuee-six-of-pentacles-character-card-art.png","Open art")</x:f>
        <x:v>Open art</x:v>
      </x:c>
      <x:c r="F89" s="7" t="str">
        <x:v>Saved</x:v>
      </x:c>
      <x:c r="G89" s="7" t="str">
        <x:v>Mapped</x:v>
      </x:c>
      <x:c r="H89" s="7" t="str">
        <x:v>Draft</x:v>
      </x:c>
      <x:c r="I89" s="8" t="str">
        <x:v>Card art shows Anya at a frozen evacuation road with a civilian sled, shared bread, a cracked icon with subtle reactor-red reflection, exactly six visible ration tokens, and a half-buried iron ring hinting at the later Deep North Circus connection. Six of Pentacles was checked open before assignment.</x:v>
      </x:c>
    </x:row>
    <x:row r="90" ht="23" customHeight="1">
      <x:c r="A90" s="7" t="str">
        <x:v>Seven of Pentacles</x:v>
      </x:c>
      <x:c r="B90" s="7" t="str">
        <x:v>Village Woodcutter / Tomas Yurin</x:v>
      </x:c>
      <x:c r="C90" s="7" t="str">
        <x:v>Far North</x:v>
      </x:c>
      <x:c r="D90" s="7" t="str">
        <x:v>Character</x:v>
      </x:c>
      <x:c r="E90" s="9" t="str">
        <x:f>HYPERLINK("file:///C:/Users/Drew/Documents/MythCards/assets/characters/tomas-yurin-village-woodcutter-seven-of-pentacles-character-card-art.png","Open art")</x:f>
        <x:v>Open art</x:v>
      </x:c>
      <x:c r="F90" s="7" t="str">
        <x:v>Saved</x:v>
      </x:c>
      <x:c r="G90" s="7" t="str">
        <x:v>Mapped</x:v>
      </x:c>
      <x:c r="H90" s="7" t="str">
        <x:v>Draft</x:v>
      </x:c>
      <x:c r="I90" s="8" t="str">
        <x:v>Seven of Pentacles was checked open in the Russian tarot tracker before assignment. Art should show a rugged village laborer with stacked firewood, sled runners, repaired boundary posts, and exactly seven visible cut log ends, carved post marks, or pentacle-like wood rounds as the tarot cue.</x:v>
      </x:c>
    </x:row>
    <x:row r="91" ht="23" customHeight="1">
      <x:c r="A91" s="7" t="str">
        <x:v>Eight of Pentacles</x:v>
      </x:c>
      <x:c r="B91" s="7" t="str">
        <x:v>Yakov Antonov / Winter Engineer</x:v>
      </x:c>
      <x:c r="C91" s="7" t="str">
        <x:v>Winter Front</x:v>
      </x:c>
      <x:c r="D91" s="7" t="str">
        <x:v>Character</x:v>
      </x:c>
      <x:c r="E91" s="9" t="str">
        <x:f>HYPERLINK("file:///C:/Users/Drew/Documents/MythCards/assets/characters/yakov-antonov-winter-engineer-eight-of-pentacles-character-card-art-v2.png","Open art")</x:f>
        <x:v>Open art</x:v>
      </x:c>
      <x:c r="F91" s="7" t="str">
        <x:v>Saved</x:v>
      </x:c>
      <x:c r="G91" s="7" t="str">
        <x:v>Mapped</x:v>
      </x:c>
      <x:c r="H91" s="7" t="str">
        <x:v>Draft</x:v>
      </x:c>
      <x:c r="I91" s="8" t="str"/>
    </x:row>
    <x:row r="92" ht="23" customHeight="1">
      <x:c r="A92" s="7" t="str">
        <x:v>Nine of Pentacles</x:v>
      </x:c>
      <x:c r="B92" s="7" t="str"/>
      <x:c r="C92" s="7" t="str"/>
      <x:c r="D92" s="7" t="str"/>
      <x:c r="E92" s="9" t="str"/>
      <x:c r="F92" s="7" t="str"/>
      <x:c r="G92" s="7" t="str">
        <x:v>Open</x:v>
      </x:c>
      <x:c r="H92" s="7" t="str"/>
      <x:c r="I92" s="8" t="str"/>
    </x:row>
    <x:row r="93" ht="23" customHeight="1">
      <x:c r="A93" s="7" t="str">
        <x:v>Ten of Pentacles</x:v>
      </x:c>
      <x:c r="B93" s="7" t="str"/>
      <x:c r="C93" s="7" t="str"/>
      <x:c r="D93" s="7" t="str"/>
      <x:c r="E93" s="9" t="str"/>
      <x:c r="F93" s="7" t="str"/>
      <x:c r="G93" s="7" t="str">
        <x:v>Open</x:v>
      </x:c>
      <x:c r="H93" s="7" t="str"/>
      <x:c r="I93" s="8" t="str"/>
    </x:row>
    <x:row r="94" ht="23" customHeight="1">
      <x:c r="A94" s="7" t="str">
        <x:v>Page of Pentacles</x:v>
      </x:c>
      <x:c r="B94" s="7" t="str">
        <x:v>Sky-Hide Mirror</x:v>
      </x:c>
      <x:c r="C94" s="7" t="str">
        <x:v>Far North</x:v>
      </x:c>
      <x:c r="D94" s="7" t="str">
        <x:v>Relic</x:v>
      </x:c>
      <x:c r="E94" s="9" t="str">
        <x:f>HYPERLINK("file:///C:/Users/Drew/Documents/MythCards/assets/relics/far-north-sky-hide-mirror-page-of-cups-relic-art-corrected.png","Open art")</x:f>
        <x:v>Open art</x:v>
      </x:c>
      <x:c r="F94" s="7" t="str">
        <x:v>Saved</x:v>
      </x:c>
      <x:c r="G94" s="7" t="str">
        <x:v>Mapped</x:v>
      </x:c>
      <x:c r="H94" s="7" t="str">
        <x:v>Draft</x:v>
      </x:c>
      <x:c r="I94" s="8" t="str">
        <x:v>Remapped from Page of Cups to Page of Pentacles so Meteor Contact To The North can own the cup-message archetype. Corrected variant increases the mirror scale to match Pavel's character artwork, making it a large hand-held disc rather than a small pendant.</x:v>
      </x:c>
    </x:row>
    <x:row r="95" ht="23" customHeight="1">
      <x:c r="A95" s="7" t="str">
        <x:v>Knight of Pentacles</x:v>
      </x:c>
      <x:c r="B95" s="7" t="str">
        <x:v>Buran's Boundary Harness</x:v>
      </x:c>
      <x:c r="C95" s="7" t="str">
        <x:v>Far North</x:v>
      </x:c>
      <x:c r="D95" s="7" t="str">
        <x:v>Relic</x:v>
      </x:c>
      <x:c r="E95" s="9" t="str">
        <x:f>HYPERLINK("file:///C:/Users/Drew/Documents/MythCards/assets/relics/far-north-burans-boundary-harness-knight-of-pentacles-relic-art.png","Open art")</x:f>
        <x:v>Open art</x:v>
      </x:c>
      <x:c r="F95" s="7" t="str">
        <x:v>Saved</x:v>
      </x:c>
      <x:c r="G95" s="7" t="str">
        <x:v>Mapped</x:v>
      </x:c>
      <x:c r="H95" s="7" t="str">
        <x:v>Draft</x:v>
      </x:c>
      <x:c r="I95" s="8" t="str">
        <x:v>Relic art keeps the harness consistent with Buran and Vera's established imagery: rugged dark leather, iron rings, red cords, boundary charms, tiger pawprints, Vera's boot tracks, and aurora-lit village posts.</x:v>
      </x:c>
    </x:row>
    <x:row r="96" ht="23" customHeight="1">
      <x:c r="A96" s="7" t="str">
        <x:v>Queen of Pentacles</x:v>
      </x:c>
      <x:c r="B96" s="7" t="str"/>
      <x:c r="C96" s="7" t="str"/>
      <x:c r="D96" s="7" t="str"/>
      <x:c r="E96" s="9" t="str"/>
      <x:c r="F96" s="7" t="str"/>
      <x:c r="G96" s="7" t="str">
        <x:v>Open</x:v>
      </x:c>
      <x:c r="H96" s="7" t="str"/>
      <x:c r="I96" s="8" t="str"/>
    </x:row>
    <x:row r="97" ht="23" customHeight="1">
      <x:c r="A97" s="7" t="str">
        <x:v>King of Pentacles</x:v>
      </x:c>
      <x:c r="B97" s="7" t="str">
        <x:v>Reactor Core Fragment</x:v>
      </x:c>
      <x:c r="C97" s="7" t="str">
        <x:v>Closed City</x:v>
      </x:c>
      <x:c r="D97" s="7" t="str">
        <x:v>Relic</x:v>
      </x:c>
      <x:c r="E97" s="9" t="str">
        <x:f>HYPERLINK("file:///C:/Users/Drew/Documents/MythCards/assets/relics/closed-city-reactor-core-fragment-king-of-pentacles-relic-art.png","Open art")</x:f>
        <x:v>Open art</x:v>
      </x:c>
      <x:c r="F97" s="7" t="str">
        <x:v>Saved</x:v>
      </x:c>
      <x:c r="G97" s="7" t="str">
        <x:v>Mapped</x:v>
      </x:c>
      <x:c r="H97" s="7" t="str">
        <x:v>Approved</x:v>
      </x:c>
      <x:c r="I97" s="8" t="str">
        <x:v>Approved revision preserves the shard but replaces the paired gauges with a locked power pedestal, a single pentacle seal, and conduits carrying its energy into the Closed City.</x:v>
      </x:c>
    </x:row>
  </x:sheetData>
  <x:conditionalFormatting sqref="G8:G97">
    <x:cfRule type="containsText" dxfId="0" priority="1" operator="containsText" text="Conflict"/>
    <x:cfRule type="containsText" dxfId="1" priority="2" operator="containsText" text="Open"/>
  </x:conditionalFormatting>
  <x:conditionalFormatting sqref="F8:F97">
    <x:cfRule type="containsText" dxfId="2" priority="3" operator="containsText" text="Missing"/>
  </x:conditionalFormatting>
  <x:pageMargins left="0.7" right="0.7" top="0.75" bottom="0.75" header="0.3" footer="0.3"/>
  <x:tableParts count="1">
    <x:tablePart xmlns:r="http://schemas.openxmlformats.org/officeDocument/2006/relationships" r:id="Rd365c26ae7e24329"/>
  </x:tableParts>
</x:worksheet>
</file>